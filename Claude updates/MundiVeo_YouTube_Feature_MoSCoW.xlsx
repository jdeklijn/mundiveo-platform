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ouTube Feature List" sheetId="1" state="visible" r:id="rId3"/>
    <sheet name="Instructions" sheetId="2" state="visible" r:id="rId4"/>
    <sheet name="Summary Dashboard" sheetId="3" state="visible" r:id="rId5"/>
  </sheets>
  <definedNames>
    <definedName function="false" hidden="true" localSheetId="0" name="_xlnm._FilterDatabase" vbProcedure="false">'YouTube Feature List'!$A$4:$G$189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<sst xmlns="http://schemas.openxmlformats.org/spreadsheetml/2006/main" count="839" uniqueCount="469">
  <si>
    <t xml:space="preserve">MundiVeo — YouTube Feature Inventory &amp; MVP Prioritization (MoSCoW)</t>
  </si>
  <si>
    <t xml:space="preserve">Every project member: fill in the 'MVP Priority' column per row. Compiled from current YouTube features plus notable historical/removed features (marked 'Legacy'). Not exhaustive of every minor UI tweak — focused on decision-worthy functionality.</t>
  </si>
  <si>
    <t xml:space="preserve">#</t>
  </si>
  <si>
    <t xml:space="preserve">Segment</t>
  </si>
  <si>
    <t xml:space="preserve">Feature / Function</t>
  </si>
  <si>
    <t xml:space="preserve">Description</t>
  </si>
  <si>
    <t xml:space="preserve">Status</t>
  </si>
  <si>
    <t xml:space="preserve">MVP Priority</t>
  </si>
  <si>
    <t xml:space="preserve">Notes / Rationale</t>
  </si>
  <si>
    <t xml:space="preserve">1. Account &amp; Onboarding</t>
  </si>
  <si>
    <t xml:space="preserve">Single sign-on account</t>
  </si>
  <si>
    <t xml:space="preserve">One account (originally Google-linked) used to access the whole platform</t>
  </si>
  <si>
    <t xml:space="preserve">Current</t>
  </si>
  <si>
    <t xml:space="preserve">Custom @handle</t>
  </si>
  <si>
    <t xml:space="preserve">Unique, human-readable username separate from display name</t>
  </si>
  <si>
    <t xml:space="preserve">Introduced 2022</t>
  </si>
  <si>
    <t xml:space="preserve">Channel creation wizard</t>
  </si>
  <si>
    <t xml:space="preserve">Guided first-time setup flow for a new channel</t>
  </si>
  <si>
    <t xml:space="preserve">Profile picture &amp; banner art</t>
  </si>
  <si>
    <t xml:space="preserve">Visual branding elements on the channel page</t>
  </si>
  <si>
    <t xml:space="preserve">Verification badge</t>
  </si>
  <si>
    <t xml:space="preserve">Checkmark shown once a channel passes a subscriber/identity threshold</t>
  </si>
  <si>
    <t xml:space="preserve">Multiple channels per account</t>
  </si>
  <si>
    <t xml:space="preserve">Manage several channels (e.g. brand accounts) under one login</t>
  </si>
  <si>
    <t xml:space="preserve">Two-factor authentication</t>
  </si>
  <si>
    <t xml:space="preserve">Extra login security step</t>
  </si>
  <si>
    <t xml:space="preserve">Account recovery flow</t>
  </si>
  <si>
    <t xml:space="preserve">Regain access via phone/email if locked out</t>
  </si>
  <si>
    <t xml:space="preserve">Channel trailer for non-subscribers</t>
  </si>
  <si>
    <t xml:space="preserve">Auto-played intro video shown only to people not yet subscribed</t>
  </si>
  <si>
    <t xml:space="preserve">Social links on channel</t>
  </si>
  <si>
    <t xml:space="preserve">Outbound links to other platforms shown on the About page</t>
  </si>
  <si>
    <t xml:space="preserve">2. Upload &amp; Video Management</t>
  </si>
  <si>
    <t xml:space="preserve">Standard video upload</t>
  </si>
  <si>
    <t xml:space="preserve">Browser/app-based upload of a video file</t>
  </si>
  <si>
    <t xml:space="preserve">Bulk/batch upload</t>
  </si>
  <si>
    <t xml:space="preserve">Upload multiple videos in one session</t>
  </si>
  <si>
    <t xml:space="preserve">Privacy settings (Public/Unlisted/Private/Scheduled)</t>
  </si>
  <si>
    <t xml:space="preserve">Control who can find and view a video, or delay publishing</t>
  </si>
  <si>
    <t xml:space="preserve">Custom thumbnail upload</t>
  </si>
  <si>
    <t xml:space="preserve">Creator-chosen still image representing the video</t>
  </si>
  <si>
    <t xml:space="preserve">Auto-generated thumbnail suggestions</t>
  </si>
  <si>
    <t xml:space="preserve">Platform proposes frames or AI-generated thumbnails</t>
  </si>
  <si>
    <t xml:space="preserve">Title, description, tags metadata</t>
  </si>
  <si>
    <t xml:space="preserve">Core searchable/discoverable text fields</t>
  </si>
  <si>
    <t xml:space="preserve">Manual chapters (timestamps)</t>
  </si>
  <si>
    <t xml:space="preserve">Creator-typed timestamps in the description that become a navigable chapter bar</t>
  </si>
  <si>
    <t xml:space="preserve">Auto-detected chapters (AI)</t>
  </si>
  <si>
    <t xml:space="preserve">Platform automatically segments a video into chapters</t>
  </si>
  <si>
    <t xml:space="preserve">End screens</t>
  </si>
  <si>
    <t xml:space="preserve">Clickable subscribe/video/playlist links shown in the last ~20 seconds</t>
  </si>
  <si>
    <t xml:space="preserve">Replaced annotations, 2017+</t>
  </si>
  <si>
    <t xml:space="preserve">Cards</t>
  </si>
  <si>
    <t xml:space="preserve">Small clickable overlays (link, poll, merchandise) shown during playback</t>
  </si>
  <si>
    <t xml:space="preserve">Pop-up annotations</t>
  </si>
  <si>
    <t xml:space="preserve">Clickable text/image overlays drawn anywhere on the video frame</t>
  </si>
  <si>
    <t xml:space="preserve">Legacy - Removed</t>
  </si>
  <si>
    <t xml:space="preserve">Editor removed 2017-2018, all annotations deleted Jan 2019</t>
  </si>
  <si>
    <t xml:space="preserve">Caption/subtitle file upload</t>
  </si>
  <si>
    <t xml:space="preserve">Creator-supplied closed caption track</t>
  </si>
  <si>
    <t xml:space="preserve">Auto-dubbing into other languages (AI)</t>
  </si>
  <si>
    <t xml:space="preserve">Automatic AI-generated dubbed audio tracks, now free for all eligible creators</t>
  </si>
  <si>
    <t xml:space="preserve">Rolled out to all creators 2025-2026, 27 languages</t>
  </si>
  <si>
    <t xml:space="preserve">Creator-supplied dub audio tracks</t>
  </si>
  <si>
    <t xml:space="preserve">Manually uploaded alternate-language audio track</t>
  </si>
  <si>
    <t xml:space="preserve">Made-for-Kids toggle</t>
  </si>
  <si>
    <t xml:space="preserve">Legal/COPPA-style content classification at upload</t>
  </si>
  <si>
    <t xml:space="preserve">Built-in basic video editor</t>
  </si>
  <si>
    <t xml:space="preserve">In-browser trim, blur, audio swap, filters</t>
  </si>
  <si>
    <t xml:space="preserve">Automated copyright scan on upload</t>
  </si>
  <si>
    <t xml:space="preserve">Content ID check before/at publishing</t>
  </si>
  <si>
    <t xml:space="preserve">Scheduled premieres</t>
  </si>
  <si>
    <t xml:space="preserve">Video goes live at a set time with a countdown and live chat</t>
  </si>
  <si>
    <t xml:space="preserve">Replace uploaded video file</t>
  </si>
  <si>
    <t xml:space="preserve">Swap the underlying file while keeping URL/stats/comments</t>
  </si>
  <si>
    <t xml:space="preserve">Playlist creation &amp; management</t>
  </si>
  <si>
    <t xml:space="preserve">Group videos into ordered or shuffled collections</t>
  </si>
  <si>
    <t xml:space="preserve">Series/season grouping</t>
  </si>
  <si>
    <t xml:space="preserve">Structure playlists as episodic seasons</t>
  </si>
  <si>
    <t xml:space="preserve">3. Video Player &amp; Playback</t>
  </si>
  <si>
    <t xml:space="preserve">Adaptive-resolution streaming</t>
  </si>
  <si>
    <t xml:space="preserve">Automatic quality adjustment based on connection (144p-8K)</t>
  </si>
  <si>
    <t xml:space="preserve">Manual resolution selection</t>
  </si>
  <si>
    <t xml:space="preserve">Viewer overrides the automatic quality choice</t>
  </si>
  <si>
    <t xml:space="preserve">Playback speed control</t>
  </si>
  <si>
    <t xml:space="preserve">0.25x-2x (or custom) speed adjustment</t>
  </si>
  <si>
    <t xml:space="preserve">Picture-in-picture / mini-player</t>
  </si>
  <si>
    <t xml:space="preserve">Keep watching in a small floating window while browsing</t>
  </si>
  <si>
    <t xml:space="preserve">Autoplay next video toggle</t>
  </si>
  <si>
    <t xml:space="preserve">Automatically starts a suggested video when one ends</t>
  </si>
  <si>
    <t xml:space="preserve">Loop video</t>
  </si>
  <si>
    <t xml:space="preserve">Repeat the current video automatically</t>
  </si>
  <si>
    <t xml:space="preserve">Theater mode / full screen</t>
  </si>
  <si>
    <t xml:space="preserve">Wider or full-screen player layouts</t>
  </si>
  <si>
    <t xml:space="preserve">Ambient/backdrop color mode</t>
  </si>
  <si>
    <t xml:space="preserve">Player background glows with colors sampled from the video</t>
  </si>
  <si>
    <t xml:space="preserve">Closed captions / subtitles display</t>
  </si>
  <si>
    <t xml:space="preserve">Viewer-toggleable caption overlay</t>
  </si>
  <si>
    <t xml:space="preserve">Auto-generated (speech-to-text) captions</t>
  </si>
  <si>
    <t xml:space="preserve">Machine-generated captions when no creator caption exists</t>
  </si>
  <si>
    <t xml:space="preserve">Seek-bar scrubbing thumbnail preview</t>
  </si>
  <si>
    <t xml:space="preserve">Hover/drag preview thumbnails on the progress bar</t>
  </si>
  <si>
    <t xml:space="preserve">Sleep timer</t>
  </si>
  <si>
    <t xml:space="preserve">Auto-stop playback after a set time</t>
  </si>
  <si>
    <t xml:space="preserve">"Stats for nerds" panel</t>
  </si>
  <si>
    <t xml:space="preserve">Technical playback/connection diagnostics overlay</t>
  </si>
  <si>
    <t xml:space="preserve">360 degree / VR video playback</t>
  </si>
  <si>
    <t xml:space="preserve">Immersive spherical video support</t>
  </si>
  <si>
    <t xml:space="preserve">HDR playback</t>
  </si>
  <si>
    <t xml:space="preserve">High dynamic range video support</t>
  </si>
  <si>
    <t xml:space="preserve">Multi-camera / multiview live playback</t>
  </si>
  <si>
    <t xml:space="preserve">Watch multiple camera angles or streams at once (e.g. live sports)</t>
  </si>
  <si>
    <t xml:space="preserve">Expanding on YouTube TV, 2026</t>
  </si>
  <si>
    <t xml:space="preserve">Five-star rating system</t>
  </si>
  <si>
    <t xml:space="preserve">Rate a video 1-5 stars</t>
  </si>
  <si>
    <t xml:space="preserve">Replaced by like/dislike, 2009-2010</t>
  </si>
  <si>
    <t xml:space="preserve">Like / Dislike buttons</t>
  </si>
  <si>
    <t xml:space="preserve">Simple binary feedback on a video</t>
  </si>
  <si>
    <t xml:space="preserve">Public dislike counter</t>
  </si>
  <si>
    <t xml:space="preserve">Dislike count visible to all viewers, not just the creator</t>
  </si>
  <si>
    <t xml:space="preserve">Hidden from public view, Nov 2021</t>
  </si>
  <si>
    <t xml:space="preserve">Video Responses</t>
  </si>
  <si>
    <t xml:space="preserve">Reply to a video by publishing your own video response</t>
  </si>
  <si>
    <t xml:space="preserve">Removed ~2013</t>
  </si>
  <si>
    <t xml:space="preserve">4. Discovery, Search &amp; Recommendations</t>
  </si>
  <si>
    <t xml:space="preserve">Personalized homepage feed</t>
  </si>
  <si>
    <t xml:space="preserve">Algorithmically ordered video grid on the homepage</t>
  </si>
  <si>
    <t xml:space="preserve">Search with autocomplete</t>
  </si>
  <si>
    <t xml:space="preserve">Query suggestions while typing</t>
  </si>
  <si>
    <t xml:space="preserve">Search filters</t>
  </si>
  <si>
    <t xml:space="preserve">Filter results by upload date, duration, type, features, etc.</t>
  </si>
  <si>
    <t xml:space="preserve">Explore / Trending page</t>
  </si>
  <si>
    <t xml:space="preserve">Curated tabs for trending, music, gaming, news, etc.</t>
  </si>
  <si>
    <t xml:space="preserve">'Trending' evolved into multi-tab 'Explore'</t>
  </si>
  <si>
    <t xml:space="preserve">"Up next" suggested videos</t>
  </si>
  <si>
    <t xml:space="preserve">Recommended videos shown beside/after the current one</t>
  </si>
  <si>
    <t xml:space="preserve">"Not interested" feedback</t>
  </si>
  <si>
    <t xml:space="preserve">Downvote a recommendation without leaving the video</t>
  </si>
  <si>
    <t xml:space="preserve">"Don't recommend this channel"</t>
  </si>
  <si>
    <t xml:space="preserve">Suppress an entire channel from recommendations</t>
  </si>
  <si>
    <t xml:space="preserve">Watch history</t>
  </si>
  <si>
    <t xml:space="preserve">Log of previously watched videos, used for personalization</t>
  </si>
  <si>
    <t xml:space="preserve">Hashtag pages</t>
  </si>
  <si>
    <t xml:space="preserve">Aggregated feed of videos sharing a hashtag</t>
  </si>
  <si>
    <t xml:space="preserve">Auto-generated topic/artist pages</t>
  </si>
  <si>
    <t xml:space="preserve">Platform-assembled channel-like pages for a subject or artist</t>
  </si>
  <si>
    <t xml:space="preserve">Conversational AI search ("Ask")</t>
  </si>
  <si>
    <t xml:space="preserve">Chat-style search that understands follow-up questions</t>
  </si>
  <si>
    <t xml:space="preserve">Launched 2025-2026; ~20M monthly users by end of 2025</t>
  </si>
  <si>
    <t xml:space="preserve">"More from this creator" / related channels</t>
  </si>
  <si>
    <t xml:space="preserve">Cross-promotion of similar or related channels</t>
  </si>
  <si>
    <t xml:space="preserve">Auto-generated "Mix" playlists</t>
  </si>
  <si>
    <t xml:space="preserve">Platform-assembled endless playlists around a video/artist</t>
  </si>
  <si>
    <t xml:space="preserve">Explainable recommendation reasons</t>
  </si>
  <si>
    <t xml:space="preserve">Plain-language reason shown for why a video was suggested</t>
  </si>
  <si>
    <t xml:space="preserve">Not present on YouTube</t>
  </si>
  <si>
    <t xml:space="preserve">Frequently requested transparency feature; N/A on YouTube today</t>
  </si>
  <si>
    <t xml:space="preserve">5. Channel Page &amp; Branding</t>
  </si>
  <si>
    <t xml:space="preserve">Channel banner art</t>
  </si>
  <si>
    <t xml:space="preserve">Large header image on the channel page</t>
  </si>
  <si>
    <t xml:space="preserve">Channel description / About page</t>
  </si>
  <si>
    <t xml:space="preserve">Free-text bio and channel details</t>
  </si>
  <si>
    <t xml:space="preserve">Featured/pinned video or playlist</t>
  </si>
  <si>
    <t xml:space="preserve">Content pinned to the top of the channel homepage</t>
  </si>
  <si>
    <t xml:space="preserve">Customizable channel sections</t>
  </si>
  <si>
    <t xml:space="preserve">Creator-arranged rows of playlists/content on the channel homepage</t>
  </si>
  <si>
    <t xml:space="preserve">Channel tabs (Home/Videos/Shorts/Live/Playlists/Community/About)</t>
  </si>
  <si>
    <t xml:space="preserve">Standard navigation structure of a channel page</t>
  </si>
  <si>
    <t xml:space="preserve">Channel keywords (SEO)</t>
  </si>
  <si>
    <t xml:space="preserve">Hidden metadata used for channel-level search relevance</t>
  </si>
  <si>
    <t xml:space="preserve">Subscriber count visibility toggle</t>
  </si>
  <si>
    <t xml:space="preserve">Creator can hide their public subscriber count</t>
  </si>
  <si>
    <t xml:space="preserve">Store / merchandise shelf</t>
  </si>
  <si>
    <t xml:space="preserve">Third-party merch integration shown under videos/channel</t>
  </si>
  <si>
    <t xml:space="preserve">Ticketing / events shelf</t>
  </si>
  <si>
    <t xml:space="preserve">Promote live events/ticket sales under a video (regional availability)</t>
  </si>
  <si>
    <t xml:space="preserve">Availability varies by market</t>
  </si>
  <si>
    <t xml:space="preserve">6. Comments &amp; Engagement</t>
  </si>
  <si>
    <t xml:space="preserve">Standard comment section</t>
  </si>
  <si>
    <t xml:space="preserve">Text comments under a video</t>
  </si>
  <si>
    <t xml:space="preserve">Threaded replies</t>
  </si>
  <si>
    <t xml:space="preserve">Nested replies to a comment</t>
  </si>
  <si>
    <t xml:space="preserve">Pinned comment</t>
  </si>
  <si>
    <t xml:space="preserve">Creator pins one comment to the top</t>
  </si>
  <si>
    <t xml:space="preserve">Creator heart on a comment</t>
  </si>
  <si>
    <t xml:space="preserve">Small heart icon shown when the creator likes a comment</t>
  </si>
  <si>
    <t xml:space="preserve">Comment sorting (Top/Newest)</t>
  </si>
  <si>
    <t xml:space="preserve">Viewer-selectable comment order</t>
  </si>
  <si>
    <t xml:space="preserve">Held-for-review comment queue</t>
  </si>
  <si>
    <t xml:space="preserve">Comments matching filters wait for creator approval</t>
  </si>
  <si>
    <t xml:space="preserve">Blocked words filter</t>
  </si>
  <si>
    <t xml:space="preserve">Auto-hide comments containing chosen words</t>
  </si>
  <si>
    <t xml:space="preserve">@mentions in comments</t>
  </si>
  <si>
    <t xml:space="preserve">Tag another channel/user in a comment</t>
  </si>
  <si>
    <t xml:space="preserve">AI comment summarization</t>
  </si>
  <si>
    <t xml:space="preserve">AI-generated summary of top themes in a comment section</t>
  </si>
  <si>
    <t xml:space="preserve">Rolled out 2024-2025</t>
  </si>
  <si>
    <t xml:space="preserve">In-app direct messaging</t>
  </si>
  <si>
    <t xml:space="preserve">Private messaging between users without leaving the app</t>
  </si>
  <si>
    <t xml:space="preserve">Wider rollout 2026</t>
  </si>
  <si>
    <t xml:space="preserve">Google+ integrated commenting</t>
  </si>
  <si>
    <t xml:space="preserve">Comments required a linked Google+ profile</t>
  </si>
  <si>
    <t xml:space="preserve">Introduced 2013, reverted 2015 after backlash</t>
  </si>
  <si>
    <t xml:space="preserve">7. Community Tab / Posts</t>
  </si>
  <si>
    <t xml:space="preserve">Text posts</t>
  </si>
  <si>
    <t xml:space="preserve">Short text-only update posted to subscribers</t>
  </si>
  <si>
    <t xml:space="preserve">Image posts</t>
  </si>
  <si>
    <t xml:space="preserve">Photo update posted to subscribers</t>
  </si>
  <si>
    <t xml:space="preserve">Poll posts</t>
  </si>
  <si>
    <t xml:space="preserve">Multiple-choice poll for subscribers to vote on</t>
  </si>
  <si>
    <t xml:space="preserve">GIF posts</t>
  </si>
  <si>
    <t xml:space="preserve">Animated GIF update</t>
  </si>
  <si>
    <t xml:space="preserve">Quiz posts</t>
  </si>
  <si>
    <t xml:space="preserve">Interactive quiz-style post</t>
  </si>
  <si>
    <t xml:space="preserve">Subscriber-count gated eligibility</t>
  </si>
  <si>
    <t xml:space="preserve">Community tab only unlocked after reaching a subscriber threshold</t>
  </si>
  <si>
    <t xml:space="preserve">YouTube Stories</t>
  </si>
  <si>
    <t xml:space="preserve">Short-lived vertical video updates visible only to subscribers, creator-only tool</t>
  </si>
  <si>
    <t xml:space="preserve">Discontinued June 2023</t>
  </si>
  <si>
    <t xml:space="preserve">8. Live Streaming</t>
  </si>
  <si>
    <t xml:space="preserve">Encoder-based live streaming</t>
  </si>
  <si>
    <t xml:space="preserve">Stream via OBS or similar broadcast software</t>
  </si>
  <si>
    <t xml:space="preserve">Mobile live streaming</t>
  </si>
  <si>
    <t xml:space="preserve">Go live directly from the mobile app</t>
  </si>
  <si>
    <t xml:space="preserve">Scheduled live streams / premieres</t>
  </si>
  <si>
    <t xml:space="preserve">Announce and countdown to a future live/scheduled watch event</t>
  </si>
  <si>
    <t xml:space="preserve">Live chat</t>
  </si>
  <si>
    <t xml:space="preserve">Real-time text chat alongside a live stream</t>
  </si>
  <si>
    <t xml:space="preserve">Live chat replay</t>
  </si>
  <si>
    <t xml:space="preserve">Chat messages replay in sync when watching the VOD afterward</t>
  </si>
  <si>
    <t xml:space="preserve">Super Chat</t>
  </si>
  <si>
    <t xml:space="preserve">Viewers pay to highlight/pin a chat message during a live stream</t>
  </si>
  <si>
    <t xml:space="preserve">Super Stickers</t>
  </si>
  <si>
    <t xml:space="preserve">Paid animated stickers shown in live chat</t>
  </si>
  <si>
    <t xml:space="preserve">Live polls</t>
  </si>
  <si>
    <t xml:space="preserve">Creator-run polls during a live stream</t>
  </si>
  <si>
    <t xml:space="preserve">Multi-camera / multiview live streams</t>
  </si>
  <si>
    <t xml:space="preserve">Multiple simultaneous camera angles or channels, viewer-selectable</t>
  </si>
  <si>
    <t xml:space="preserve">Expanding through 2026</t>
  </si>
  <si>
    <t xml:space="preserve">Clip creation from a live stream or VOD</t>
  </si>
  <si>
    <t xml:space="preserve">Viewers/creators cut a short shareable clip from a longer stream</t>
  </si>
  <si>
    <t xml:space="preserve">Co-streaming / guest features</t>
  </si>
  <si>
    <t xml:space="preserve">Bring another creator into your live stream as a guest</t>
  </si>
  <si>
    <t xml:space="preserve">9. Shorts (Short-form Video)</t>
  </si>
  <si>
    <t xml:space="preserve">Vertical short-form video upload</t>
  </si>
  <si>
    <t xml:space="preserve">Videos up to a few minutes, vertical/full-screen format</t>
  </si>
  <si>
    <t xml:space="preserve">Max length extended over time</t>
  </si>
  <si>
    <t xml:space="preserve">In-app Shorts camera</t>
  </si>
  <si>
    <t xml:space="preserve">Record directly within the app with built-in tools</t>
  </si>
  <si>
    <t xml:space="preserve">Remix (reuse audio/video from another Short)</t>
  </si>
  <si>
    <t xml:space="preserve">Build a new Short using another creator's audio or clip</t>
  </si>
  <si>
    <t xml:space="preserve">Green screen effect</t>
  </si>
  <si>
    <t xml:space="preserve">Replace background using another video/image as backdrop</t>
  </si>
  <si>
    <t xml:space="preserve">Music/sound library for Shorts</t>
  </si>
  <si>
    <t xml:space="preserve">Licensed audio tracks available to add to a Short</t>
  </si>
  <si>
    <t xml:space="preserve">Shorts shelf on homepage/channel</t>
  </si>
  <si>
    <t xml:space="preserve">Dedicated horizontal-scroll row for Shorts</t>
  </si>
  <si>
    <t xml:space="preserve">Shorts ad-revenue sharing</t>
  </si>
  <si>
    <t xml:space="preserve">Ad revenue pool distributed across Shorts views</t>
  </si>
  <si>
    <t xml:space="preserve">AI background generator ("Dream Screen")</t>
  </si>
  <si>
    <t xml:space="preserve">Generate a video/image background for a Short from a text prompt</t>
  </si>
  <si>
    <t xml:space="preserve">Upgraded to newer video-gen model, 2026</t>
  </si>
  <si>
    <t xml:space="preserve">AI likeness-based Shorts creation</t>
  </si>
  <si>
    <t xml:space="preserve">Create a Short using the creator's own AI-generated likeness</t>
  </si>
  <si>
    <t xml:space="preserve">2026 rollout</t>
  </si>
  <si>
    <t xml:space="preserve">Image posts within Shorts</t>
  </si>
  <si>
    <t xml:space="preserve">Post still images alongside short-form video content</t>
  </si>
  <si>
    <t xml:space="preserve">New for 2026</t>
  </si>
  <si>
    <t xml:space="preserve">"Save to device" edited Short</t>
  </si>
  <si>
    <t xml:space="preserve">Save a Short with your edits directly to your phone</t>
  </si>
  <si>
    <t xml:space="preserve">Rolling out 2026</t>
  </si>
  <si>
    <t xml:space="preserve">10. Notifications &amp; Subscriptions</t>
  </si>
  <si>
    <t xml:space="preserve">Subscribe button</t>
  </si>
  <si>
    <t xml:space="preserve">Follow a channel to get its uploads in a dedicated feed</t>
  </si>
  <si>
    <t xml:space="preserve">Notification bell preferences (All/Personalized/None)</t>
  </si>
  <si>
    <t xml:space="preserve">Granular control of how much a subscribed channel notifies you</t>
  </si>
  <si>
    <t xml:space="preserve">Push notifications</t>
  </si>
  <si>
    <t xml:space="preserve">Mobile alerts for uploads, replies, live starts, etc.</t>
  </si>
  <si>
    <t xml:space="preserve">Email digest notifications</t>
  </si>
  <si>
    <t xml:space="preserve">Periodic email summaries of activity</t>
  </si>
  <si>
    <t xml:space="preserve">Dedicated subscriptions feed</t>
  </si>
  <si>
    <t xml:space="preserve">Feed showing only videos from subscribed channels</t>
  </si>
  <si>
    <t xml:space="preserve">Premiere/live start alerts</t>
  </si>
  <si>
    <t xml:space="preserve">Notify subscribers when a scheduled premiere or live stream begins</t>
  </si>
  <si>
    <t xml:space="preserve">11. Monetization &amp; Creator Revenue</t>
  </si>
  <si>
    <t xml:space="preserve">Partner Program ad revenue share</t>
  </si>
  <si>
    <t xml:space="preserve">Creators earn a share of ad revenue once eligibility thresholds are met</t>
  </si>
  <si>
    <t xml:space="preserve">Threshold doubling to 8,000 watch hours for new applicants, Feb 2027</t>
  </si>
  <si>
    <t xml:space="preserve">Real-time ad bidding auction</t>
  </si>
  <si>
    <t xml:space="preserve">Advertisers bid against each other; higher bids show more/pay more</t>
  </si>
  <si>
    <t xml:space="preserve">The model MundiVeo intends to explicitly NOT copy</t>
  </si>
  <si>
    <t xml:space="preserve">Skippable / non-skippable / bumper / overlay ad formats</t>
  </si>
  <si>
    <t xml:space="preserve">Different ad formats sold and shown across a video</t>
  </si>
  <si>
    <t xml:space="preserve">Mid-roll ad placement control</t>
  </si>
  <si>
    <t xml:space="preserve">Creator or automatic placement of ads within longer videos</t>
  </si>
  <si>
    <t xml:space="preserve">Channel memberships</t>
  </si>
  <si>
    <t xml:space="preserve">Recurring paid subscription tiers with perks/badges/emoji</t>
  </si>
  <si>
    <t xml:space="preserve">Super Thanks</t>
  </si>
  <si>
    <t xml:space="preserve">One-time viewer tip on a regular (non-live) video</t>
  </si>
  <si>
    <t xml:space="preserve">Merch shelf revenue</t>
  </si>
  <si>
    <t xml:space="preserve">Commission on merchandise sold via the shelf</t>
  </si>
  <si>
    <t xml:space="preserve">Fan Funding</t>
  </si>
  <si>
    <t xml:space="preserve">Early one-time tipping feature, predecessor to Super Chat/Thanks</t>
  </si>
  <si>
    <t xml:space="preserve">Discontinued ~2017</t>
  </si>
  <si>
    <t xml:space="preserve">YouTube Premium revenue share</t>
  </si>
  <si>
    <t xml:space="preserve">Portion of subscription revenue allocated based on watch time, not ads</t>
  </si>
  <si>
    <t xml:space="preserve">Content ID monetization claims</t>
  </si>
  <si>
    <t xml:space="preserve">Automatically claim and monetize others' unlicensed use of your content</t>
  </si>
  <si>
    <t xml:space="preserve">Paid product placement disclosure toggle</t>
  </si>
  <si>
    <t xml:space="preserve">Creator discloses sponsored content, adjusting ad delivery/labeling</t>
  </si>
  <si>
    <t xml:space="preserve">Crowdfunding link cards</t>
  </si>
  <si>
    <t xml:space="preserve">In-video links to external crowdfunding pages</t>
  </si>
  <si>
    <t xml:space="preserve">In-app checkout / shopping</t>
  </si>
  <si>
    <t xml:space="preserve">Viewers complete a purchase without leaving the app</t>
  </si>
  <si>
    <t xml:space="preserve">Relaxed advertiser-friendly guidelines</t>
  </si>
  <si>
    <t xml:space="preserve">Loosened restrictions on monetizing mature/controversial-topic content</t>
  </si>
  <si>
    <t xml:space="preserve">Adjusted 2026</t>
  </si>
  <si>
    <t xml:space="preserve">12. Creator Studio &amp; Analytics</t>
  </si>
  <si>
    <t xml:space="preserve">Studio dashboard</t>
  </si>
  <si>
    <t xml:space="preserve">Central hub for managing content, comments and channel settings</t>
  </si>
  <si>
    <t xml:space="preserve">Formerly 'Video Manager'</t>
  </si>
  <si>
    <t xml:space="preserve">Real-time view/subscriber counters</t>
  </si>
  <si>
    <t xml:space="preserve">Live-updating stats immediately after publishing</t>
  </si>
  <si>
    <t xml:space="preserve">Audience retention graphs</t>
  </si>
  <si>
    <t xml:space="preserve">Second-by-second graph of where viewers drop off</t>
  </si>
  <si>
    <t xml:space="preserve">Revenue reports (RPM/CPM breakdown)</t>
  </si>
  <si>
    <t xml:space="preserve">Detailed monetization performance reporting</t>
  </si>
  <si>
    <t xml:space="preserve">Traffic source breakdown</t>
  </si>
  <si>
    <t xml:space="preserve">Where views come from (search, suggested, external, etc.)</t>
  </si>
  <si>
    <t xml:space="preserve">Demographics breakdown</t>
  </si>
  <si>
    <t xml:space="preserve">Age, gender, geography of the audience</t>
  </si>
  <si>
    <t xml:space="preserve">Video comparison tool</t>
  </si>
  <si>
    <t xml:space="preserve">Compare performance of two or more videos side by side</t>
  </si>
  <si>
    <t xml:space="preserve">A/B thumbnail/title testing</t>
  </si>
  <si>
    <t xml:space="preserve">Test multiple thumbnails or titles and see which performs best</t>
  </si>
  <si>
    <t xml:space="preserve">AI "Inspiration" tab</t>
  </si>
  <si>
    <t xml:space="preserve">AI-generated video idea, title and thumbnail suggestions</t>
  </si>
  <si>
    <t xml:space="preserve">Launched 2025</t>
  </si>
  <si>
    <t xml:space="preserve">Copyright/Content ID claims dashboard</t>
  </si>
  <si>
    <t xml:space="preserve">Manage and dispute claims against your uploads</t>
  </si>
  <si>
    <t xml:space="preserve">Community guideline strikes dashboard</t>
  </si>
  <si>
    <t xml:space="preserve">Track policy violations against the channel</t>
  </si>
  <si>
    <t xml:space="preserve">Renamed 'Community Moderation / Content Controls', 2026</t>
  </si>
  <si>
    <t xml:space="preserve">Mobile Studio app</t>
  </si>
  <si>
    <t xml:space="preserve">Manage a channel from a phone</t>
  </si>
  <si>
    <t xml:space="preserve">13. Moderation, Safety &amp; Trust</t>
  </si>
  <si>
    <t xml:space="preserve">Community Guidelines strike system</t>
  </si>
  <si>
    <t xml:space="preserve">Escalating penalties for policy violations</t>
  </si>
  <si>
    <t xml:space="preserve">Content ID automated copyright matching</t>
  </si>
  <si>
    <t xml:space="preserve">Scans uploads against a rights-holder reference database</t>
  </si>
  <si>
    <t xml:space="preserve">Copyright strike / takedown process</t>
  </si>
  <si>
    <t xml:space="preserve">Formal legal takedown request handling</t>
  </si>
  <si>
    <t xml:space="preserve">Age-restriction flagging</t>
  </si>
  <si>
    <t xml:space="preserve">Marks a video as 18+/sign-in required</t>
  </si>
  <si>
    <t xml:space="preserve">Restricted Mode</t>
  </si>
  <si>
    <t xml:space="preserve">Optional filter that hides potentially mature content platform-wide</t>
  </si>
  <si>
    <t xml:space="preserve">Report video / comment / channel</t>
  </si>
  <si>
    <t xml:space="preserve">User-initiated flagging for review</t>
  </si>
  <si>
    <t xml:space="preserve">Block / mute a user</t>
  </si>
  <si>
    <t xml:space="preserve">Prevent a user from interacting with your content</t>
  </si>
  <si>
    <t xml:space="preserve">AI-generated/synthetic content disclosure label</t>
  </si>
  <si>
    <t xml:space="preserve">Mandatory label for realistic AI-altered or generated content</t>
  </si>
  <si>
    <t xml:space="preserve">Policy introduced 2024</t>
  </si>
  <si>
    <t xml:space="preserve">Spam / "AI slop" detection systems</t>
  </si>
  <si>
    <t xml:space="preserve">Automated detection of low-effort mass-produced or spam content</t>
  </si>
  <si>
    <t xml:space="preserve">Emphasized in 2026 roadmap</t>
  </si>
  <si>
    <t xml:space="preserve">Impersonation reporting</t>
  </si>
  <si>
    <t xml:space="preserve">Dedicated flow for reporting fake/impersonating channels</t>
  </si>
  <si>
    <t xml:space="preserve">Election/misinformation labels</t>
  </si>
  <si>
    <t xml:space="preserve">Contextual info panels on sensitive news/political content</t>
  </si>
  <si>
    <t xml:space="preserve">14. Accessibility &amp; Localization</t>
  </si>
  <si>
    <t xml:space="preserve">Closed captions/subtitles (manual + auto)</t>
  </si>
  <si>
    <t xml:space="preserve">See item under Player, listed here for accessibility grouping</t>
  </si>
  <si>
    <t xml:space="preserve">Multi-language interface (UI localization)</t>
  </si>
  <si>
    <t xml:space="preserve">Platform interface available in many languages</t>
  </si>
  <si>
    <t xml:space="preserve">Multi-language audio tracks/dubs</t>
  </si>
  <si>
    <t xml:space="preserve">See item under Upload, listed here for accessibility grouping</t>
  </si>
  <si>
    <t xml:space="preserve">Screen-reader compatibility</t>
  </si>
  <si>
    <t xml:space="preserve">Interface usable with assistive screen-reading software</t>
  </si>
  <si>
    <t xml:space="preserve">Keyboard shortcuts</t>
  </si>
  <si>
    <t xml:space="preserve">Full playback/navigation control without a mouse</t>
  </si>
  <si>
    <t xml:space="preserve">Audio description track support</t>
  </si>
  <si>
    <t xml:space="preserve">Separate narrated audio track describing on-screen visuals</t>
  </si>
  <si>
    <t xml:space="preserve">Limited availability</t>
  </si>
  <si>
    <t xml:space="preserve">15. Kids &amp; Family Safety</t>
  </si>
  <si>
    <t xml:space="preserve">Separate kids-focused app/experience</t>
  </si>
  <si>
    <t xml:space="preserve">Curated, simplified app aimed at children</t>
  </si>
  <si>
    <t xml:space="preserve">Made-for-Kids content tagging</t>
  </si>
  <si>
    <t xml:space="preserve">Legal classification affecting ads, comments and data collection</t>
  </si>
  <si>
    <t xml:space="preserve">COPPA-driven, 2019+</t>
  </si>
  <si>
    <t xml:space="preserve">Supervised/family accounts</t>
  </si>
  <si>
    <t xml:space="preserve">Parent-managed accounts with content-maturity settings for teens/kids</t>
  </si>
  <si>
    <t xml:space="preserve">Parental control levels</t>
  </si>
  <si>
    <t xml:space="preserve">Configurable content restriction levels for supervised accounts</t>
  </si>
  <si>
    <t xml:space="preserve">16. Premium / Paid Bundled Services</t>
  </si>
  <si>
    <t xml:space="preserve">Ad-free premium subscription</t>
  </si>
  <si>
    <t xml:space="preserve">Paid tier removing ads platform-wide</t>
  </si>
  <si>
    <t xml:space="preserve">Offline downloads</t>
  </si>
  <si>
    <t xml:space="preserve">Download videos for offline playback (paid tier)</t>
  </si>
  <si>
    <t xml:space="preserve">Background play (screen-off audio)</t>
  </si>
  <si>
    <t xml:space="preserve">Keep audio playing while phone screen is off/app backgrounded</t>
  </si>
  <si>
    <t xml:space="preserve">Paid tier on mobile</t>
  </si>
  <si>
    <t xml:space="preserve">Bundled music streaming service</t>
  </si>
  <si>
    <t xml:space="preserve">Separate music-focused app/subscription bundled with premium</t>
  </si>
  <si>
    <t xml:space="preserve">Bundled live TV service</t>
  </si>
  <si>
    <t xml:space="preserve">Paid live-TV channel bundle</t>
  </si>
  <si>
    <t xml:space="preserve">Market-dependent availability</t>
  </si>
  <si>
    <t xml:space="preserve">Movie/show rental &amp; purchase</t>
  </si>
  <si>
    <t xml:space="preserve">Pay-per-title video-on-demand store</t>
  </si>
  <si>
    <t xml:space="preserve">Dedicated podcasts hub</t>
  </si>
  <si>
    <t xml:space="preserve">Centralized section for audio/video podcasts</t>
  </si>
  <si>
    <t xml:space="preserve">Expanded 2025-2026</t>
  </si>
  <si>
    <t xml:space="preserve">Family/multi-user premium plans</t>
  </si>
  <si>
    <t xml:space="preserve">Shared paid subscription across a household</t>
  </si>
  <si>
    <t xml:space="preserve">17. AI &amp; Emerging Creation Tools</t>
  </si>
  <si>
    <t xml:space="preserve">Text-to-video generation for creators</t>
  </si>
  <si>
    <t xml:space="preserve">Generate original video clips from a text prompt</t>
  </si>
  <si>
    <t xml:space="preserve">'Ingredients to Video' model update, 2026</t>
  </si>
  <si>
    <t xml:space="preserve">AI-assisted video remixing</t>
  </si>
  <si>
    <t xml:space="preserve">Edit scenes/styles of an existing video using text prompts</t>
  </si>
  <si>
    <t xml:space="preserve">2026</t>
  </si>
  <si>
    <t xml:space="preserve">AI-generated background music/sound tools</t>
  </si>
  <si>
    <t xml:space="preserve">Generate original music/sound for a video from a prompt</t>
  </si>
  <si>
    <t xml:space="preserve">Playables (AI-generated mini games)</t>
  </si>
  <si>
    <t xml:space="preserve">Simple browser games generated from a text prompt, embedded in the platform</t>
  </si>
  <si>
    <t xml:space="preserve">Current - experimental</t>
  </si>
  <si>
    <t xml:space="preserve">EU rollout in progress, 2026</t>
  </si>
  <si>
    <t xml:space="preserve">AI playlist generator</t>
  </si>
  <si>
    <t xml:space="preserve">Automatically assemble a playlist from a text description</t>
  </si>
  <si>
    <t xml:space="preserve">18. Discontinued / Historical (misc.)</t>
  </si>
  <si>
    <t xml:space="preserve">Annual "Rewind" recap video</t>
  </si>
  <si>
    <t xml:space="preserve">Official platform-produced year-in-review video</t>
  </si>
  <si>
    <t xml:space="preserve">Discontinued after 2019 edition</t>
  </si>
  <si>
    <t xml:space="preserve">Standalone Gaming app</t>
  </si>
  <si>
    <t xml:space="preserve">Separate app specifically for gaming content/streaming</t>
  </si>
  <si>
    <t xml:space="preserve">Merged back into main app/site, 2019</t>
  </si>
  <si>
    <t xml:space="preserve">Lightweight/low-data app for emerging markets</t>
  </si>
  <si>
    <t xml:space="preserve">Stripped-down app aimed at limited-bandwidth regions</t>
  </si>
  <si>
    <t xml:space="preserve">Discontinued 2022</t>
  </si>
  <si>
    <t xml:space="preserve">Dedicated mobile capture/recording app</t>
  </si>
  <si>
    <t xml:space="preserve">Standalone app just for recording and quick-sharing clips</t>
  </si>
  <si>
    <t xml:space="preserve">Discontinued 2017</t>
  </si>
  <si>
    <t xml:space="preserve">"One Channel" single-row layout</t>
  </si>
  <si>
    <t xml:space="preserve">An older channel-page design paradigm</t>
  </si>
  <si>
    <t xml:space="preserve">Legacy - Superseded</t>
  </si>
  <si>
    <t xml:space="preserve">Replaced by current tabbed layout, 2013</t>
  </si>
  <si>
    <t xml:space="preserve">MundiVeo — How to use this spreadsheet</t>
  </si>
  <si>
    <t xml:space="preserve">Goal: decide which YouTube-style features MundiVeo's MVP should launch with, before the platform is public and everyone starts requesting things.</t>
  </si>
  <si>
    <t xml:space="preserve">The MoSCoW method:</t>
  </si>
  <si>
    <t xml:space="preserve">MUST HAVE — the MVP is not viable without this. Launch blocker.</t>
  </si>
  <si>
    <t xml:space="preserve">SHOULD HAVE — important, but the MVP can technically launch without it for a short time.</t>
  </si>
  <si>
    <t xml:space="preserve">COULD HAVE — nice, adds polish, first to be cut if time/budget is tight.</t>
  </si>
  <si>
    <t xml:space="preserve">WON'T HAVE (this round) — deliberately excluded from this phase. Can be revisited later (including via community governance vote).</t>
  </si>
  <si>
    <t xml:space="preserve">NEEDS DISCUSSION — reasonable people disagree, or it needs more information (legal, cost, technical) before deciding.</t>
  </si>
  <si>
    <t xml:space="preserve">How to vote:</t>
  </si>
  <si>
    <t xml:space="preserve">1. Go to the 'YouTube Feature List' tab.</t>
  </si>
  <si>
    <t xml:space="preserve">2. For every row, use the dropdown in the 'MVP Priority' column to pick your preferred option.</t>
  </si>
  <si>
    <t xml:space="preserve">3. Use the 'Notes / Rationale' column (or add your own name in brackets) to explain your reasoning, especially for anything you'd mark WON'T HAVE.</t>
  </si>
  <si>
    <t xml:space="preserve">4. The 'Status' column tells you whether a feature is currently live on YouTube, or a 'Legacy' feature YouTube itself removed (with the reason/era noted) — some legacy features are worth deliberately voting WON'T HAVE with a one-line 'YouTube already tried this and dropped it' note.</t>
  </si>
  <si>
    <t xml:space="preserve">5. Check the 'Summary Dashboard' tab for a running tally per segment once votes are in.</t>
  </si>
  <si>
    <t xml:space="preserve">Note: this list focuses on decision-worthy functionality, not every minor UI tweak. If you spot something important missing, add a new row in the correct segment rather than starting a new list.</t>
  </si>
  <si>
    <t xml:space="preserve">Summary Dashboard — auto-updates as the team fills in MVP Priority</t>
  </si>
  <si>
    <t xml:space="preserve">MUST HAVE</t>
  </si>
  <si>
    <t xml:space="preserve">SHOULD HAVE</t>
  </si>
  <si>
    <t xml:space="preserve">COULD HAVE</t>
  </si>
  <si>
    <t xml:space="preserve">WON'T HAVE (this round)</t>
  </si>
  <si>
    <t xml:space="preserve">NEEDS DISCUSSION</t>
  </si>
  <si>
    <t xml:space="preserve">Total rows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</si>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</sst>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2C4C"/>
      <name val="Arial"/>
      <family val="0"/>
      <charset val="1"/>
    </font>
    <font>
      <i val="true"/>
      <sz val="10"/>
      <color rgb="FF5A6A7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A1F2E"/>
      <name val="Arial"/>
      <family val="0"/>
      <charset val="1"/>
    </font>
    <font>
      <b val="true"/>
      <sz val="10"/>
      <color rgb="FF0F2C4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2C4C"/>
        <bgColor rgb="FF1A1F2E"/>
      </patternFill>
    </fill>
    <fill>
      <patternFill patternType="solid">
        <fgColor rgb="FFF7F9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F2C4C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F2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A6A7A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9FC"/>
      <rgbColor rgb="FFCCFFFF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A7A"/>
      <rgbColor rgb="FF969696"/>
      <rgbColor rgb="FF0F2C4C"/>
      <rgbColor rgb="FF339966"/>
      <rgbColor rgb="FF003300"/>
      <rgbColor rgb="FF333300"/>
      <rgbColor rgb="FF993300"/>
      <rgbColor rgb="FF993366"/>
      <rgbColor rgb="FF333399"/>
      <rgbColor rgb="FF1A1F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52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3.85" hidden="false" customHeight="false" outlineLevel="0" collapsed="false">
      <c r="A5" s="4" t="n">
        <v>1</v>
      </c>
      <c r="B5" s="5" t="s">
        <v>9</v>
      </c>
      <c r="C5" s="4" t="s">
        <v>10</v>
      </c>
      <c r="D5" s="6" t="s">
        <v>11</v>
      </c>
      <c r="E5" s="4" t="s">
        <v>12</v>
      </c>
      <c r="F5" s="7"/>
      <c r="G5" s="8"/>
    </row>
    <row r="6" customFormat="false" ht="15" hidden="false" customHeight="false" outlineLevel="0" collapsed="false">
      <c r="A6" s="9" t="n">
        <v>2</v>
      </c>
      <c r="B6" s="10" t="s">
        <v>9</v>
      </c>
      <c r="C6" s="9" t="s">
        <v>13</v>
      </c>
      <c r="D6" s="11" t="s">
        <v>14</v>
      </c>
      <c r="E6" s="9" t="s">
        <v>12</v>
      </c>
      <c r="F6" s="12"/>
      <c r="G6" s="13" t="s">
        <v>15</v>
      </c>
    </row>
    <row r="7" customFormat="false" ht="15" hidden="false" customHeight="false" outlineLevel="0" collapsed="false">
      <c r="A7" s="4" t="n">
        <v>3</v>
      </c>
      <c r="B7" s="5" t="s">
        <v>9</v>
      </c>
      <c r="C7" s="4" t="s">
        <v>16</v>
      </c>
      <c r="D7" s="6" t="s">
        <v>17</v>
      </c>
      <c r="E7" s="4" t="s">
        <v>12</v>
      </c>
      <c r="F7" s="7"/>
      <c r="G7" s="8"/>
    </row>
    <row r="8" customFormat="false" ht="15" hidden="false" customHeight="false" outlineLevel="0" collapsed="false">
      <c r="A8" s="9" t="n">
        <v>4</v>
      </c>
      <c r="B8" s="10" t="s">
        <v>9</v>
      </c>
      <c r="C8" s="9" t="s">
        <v>18</v>
      </c>
      <c r="D8" s="11" t="s">
        <v>19</v>
      </c>
      <c r="E8" s="9" t="s">
        <v>12</v>
      </c>
      <c r="F8" s="12"/>
      <c r="G8" s="13"/>
    </row>
    <row r="9" customFormat="false" ht="23.85" hidden="false" customHeight="false" outlineLevel="0" collapsed="false">
      <c r="A9" s="4" t="n">
        <v>5</v>
      </c>
      <c r="B9" s="5" t="s">
        <v>9</v>
      </c>
      <c r="C9" s="4" t="s">
        <v>20</v>
      </c>
      <c r="D9" s="6" t="s">
        <v>21</v>
      </c>
      <c r="E9" s="4" t="s">
        <v>12</v>
      </c>
      <c r="F9" s="7"/>
      <c r="G9" s="8"/>
    </row>
    <row r="10" customFormat="false" ht="15" hidden="false" customHeight="false" outlineLevel="0" collapsed="false">
      <c r="A10" s="9" t="n">
        <v>6</v>
      </c>
      <c r="B10" s="10" t="s">
        <v>9</v>
      </c>
      <c r="C10" s="9" t="s">
        <v>22</v>
      </c>
      <c r="D10" s="11" t="s">
        <v>23</v>
      </c>
      <c r="E10" s="9" t="s">
        <v>12</v>
      </c>
      <c r="F10" s="12"/>
      <c r="G10" s="13"/>
    </row>
    <row r="11" customFormat="false" ht="15" hidden="false" customHeight="false" outlineLevel="0" collapsed="false">
      <c r="A11" s="4" t="n">
        <v>7</v>
      </c>
      <c r="B11" s="5" t="s">
        <v>9</v>
      </c>
      <c r="C11" s="4" t="s">
        <v>24</v>
      </c>
      <c r="D11" s="6" t="s">
        <v>25</v>
      </c>
      <c r="E11" s="4" t="s">
        <v>12</v>
      </c>
      <c r="F11" s="7"/>
      <c r="G11" s="8"/>
    </row>
    <row r="12" customFormat="false" ht="15" hidden="false" customHeight="false" outlineLevel="0" collapsed="false">
      <c r="A12" s="9" t="n">
        <v>8</v>
      </c>
      <c r="B12" s="10" t="s">
        <v>9</v>
      </c>
      <c r="C12" s="9" t="s">
        <v>26</v>
      </c>
      <c r="D12" s="11" t="s">
        <v>27</v>
      </c>
      <c r="E12" s="9" t="s">
        <v>12</v>
      </c>
      <c r="F12" s="12"/>
      <c r="G12" s="13"/>
    </row>
    <row r="13" customFormat="false" ht="15" hidden="false" customHeight="false" outlineLevel="0" collapsed="false">
      <c r="A13" s="4" t="n">
        <v>9</v>
      </c>
      <c r="B13" s="5" t="s">
        <v>9</v>
      </c>
      <c r="C13" s="4" t="s">
        <v>28</v>
      </c>
      <c r="D13" s="6" t="s">
        <v>29</v>
      </c>
      <c r="E13" s="4" t="s">
        <v>12</v>
      </c>
      <c r="F13" s="7"/>
      <c r="G13" s="8"/>
    </row>
    <row r="14" customFormat="false" ht="15" hidden="false" customHeight="false" outlineLevel="0" collapsed="false">
      <c r="A14" s="9" t="n">
        <v>10</v>
      </c>
      <c r="B14" s="10" t="s">
        <v>9</v>
      </c>
      <c r="C14" s="9" t="s">
        <v>30</v>
      </c>
      <c r="D14" s="11" t="s">
        <v>31</v>
      </c>
      <c r="E14" s="9" t="s">
        <v>12</v>
      </c>
      <c r="F14" s="12"/>
      <c r="G14" s="13"/>
    </row>
    <row r="15" customFormat="false" ht="15" hidden="false" customHeight="false" outlineLevel="0" collapsed="false">
      <c r="A15" s="4" t="n">
        <v>11</v>
      </c>
      <c r="B15" s="5" t="s">
        <v>32</v>
      </c>
      <c r="C15" s="4" t="s">
        <v>33</v>
      </c>
      <c r="D15" s="6" t="s">
        <v>34</v>
      </c>
      <c r="E15" s="4" t="s">
        <v>12</v>
      </c>
      <c r="F15" s="7"/>
      <c r="G15" s="8"/>
    </row>
    <row r="16" customFormat="false" ht="15" hidden="false" customHeight="false" outlineLevel="0" collapsed="false">
      <c r="A16" s="9" t="n">
        <v>12</v>
      </c>
      <c r="B16" s="10" t="s">
        <v>32</v>
      </c>
      <c r="C16" s="9" t="s">
        <v>35</v>
      </c>
      <c r="D16" s="11" t="s">
        <v>36</v>
      </c>
      <c r="E16" s="9" t="s">
        <v>12</v>
      </c>
      <c r="F16" s="12"/>
      <c r="G16" s="13"/>
    </row>
    <row r="17" customFormat="false" ht="15" hidden="false" customHeight="false" outlineLevel="0" collapsed="false">
      <c r="A17" s="4" t="n">
        <v>13</v>
      </c>
      <c r="B17" s="5" t="s">
        <v>32</v>
      </c>
      <c r="C17" s="4" t="s">
        <v>37</v>
      </c>
      <c r="D17" s="6" t="s">
        <v>38</v>
      </c>
      <c r="E17" s="4" t="s">
        <v>12</v>
      </c>
      <c r="F17" s="7"/>
      <c r="G17" s="8"/>
    </row>
    <row r="18" customFormat="false" ht="15" hidden="false" customHeight="false" outlineLevel="0" collapsed="false">
      <c r="A18" s="9" t="n">
        <v>14</v>
      </c>
      <c r="B18" s="10" t="s">
        <v>32</v>
      </c>
      <c r="C18" s="9" t="s">
        <v>39</v>
      </c>
      <c r="D18" s="11" t="s">
        <v>40</v>
      </c>
      <c r="E18" s="9" t="s">
        <v>12</v>
      </c>
      <c r="F18" s="12"/>
      <c r="G18" s="13"/>
    </row>
    <row r="19" customFormat="false" ht="15" hidden="false" customHeight="false" outlineLevel="0" collapsed="false">
      <c r="A19" s="4" t="n">
        <v>15</v>
      </c>
      <c r="B19" s="5" t="s">
        <v>32</v>
      </c>
      <c r="C19" s="4" t="s">
        <v>41</v>
      </c>
      <c r="D19" s="6" t="s">
        <v>42</v>
      </c>
      <c r="E19" s="4" t="s">
        <v>12</v>
      </c>
      <c r="F19" s="7"/>
      <c r="G19" s="8"/>
    </row>
    <row r="20" customFormat="false" ht="15" hidden="false" customHeight="false" outlineLevel="0" collapsed="false">
      <c r="A20" s="9" t="n">
        <v>16</v>
      </c>
      <c r="B20" s="10" t="s">
        <v>32</v>
      </c>
      <c r="C20" s="9" t="s">
        <v>43</v>
      </c>
      <c r="D20" s="11" t="s">
        <v>44</v>
      </c>
      <c r="E20" s="9" t="s">
        <v>12</v>
      </c>
      <c r="F20" s="12"/>
      <c r="G20" s="13"/>
    </row>
    <row r="21" customFormat="false" ht="23.85" hidden="false" customHeight="false" outlineLevel="0" collapsed="false">
      <c r="A21" s="4" t="n">
        <v>17</v>
      </c>
      <c r="B21" s="5" t="s">
        <v>32</v>
      </c>
      <c r="C21" s="4" t="s">
        <v>45</v>
      </c>
      <c r="D21" s="6" t="s">
        <v>46</v>
      </c>
      <c r="E21" s="4" t="s">
        <v>12</v>
      </c>
      <c r="F21" s="7"/>
      <c r="G21" s="8"/>
    </row>
    <row r="22" customFormat="false" ht="15" hidden="false" customHeight="false" outlineLevel="0" collapsed="false">
      <c r="A22" s="9" t="n">
        <v>18</v>
      </c>
      <c r="B22" s="10" t="s">
        <v>32</v>
      </c>
      <c r="C22" s="9" t="s">
        <v>47</v>
      </c>
      <c r="D22" s="11" t="s">
        <v>48</v>
      </c>
      <c r="E22" s="9" t="s">
        <v>12</v>
      </c>
      <c r="F22" s="12"/>
      <c r="G22" s="13"/>
    </row>
    <row r="23" customFormat="false" ht="23.85" hidden="false" customHeight="false" outlineLevel="0" collapsed="false">
      <c r="A23" s="4" t="n">
        <v>19</v>
      </c>
      <c r="B23" s="5" t="s">
        <v>32</v>
      </c>
      <c r="C23" s="4" t="s">
        <v>49</v>
      </c>
      <c r="D23" s="6" t="s">
        <v>50</v>
      </c>
      <c r="E23" s="4" t="s">
        <v>12</v>
      </c>
      <c r="F23" s="7"/>
      <c r="G23" s="8" t="s">
        <v>51</v>
      </c>
    </row>
    <row r="24" customFormat="false" ht="23.85" hidden="false" customHeight="false" outlineLevel="0" collapsed="false">
      <c r="A24" s="9" t="n">
        <v>20</v>
      </c>
      <c r="B24" s="10" t="s">
        <v>32</v>
      </c>
      <c r="C24" s="9" t="s">
        <v>52</v>
      </c>
      <c r="D24" s="11" t="s">
        <v>53</v>
      </c>
      <c r="E24" s="9" t="s">
        <v>12</v>
      </c>
      <c r="F24" s="12"/>
      <c r="G24" s="13" t="s">
        <v>51</v>
      </c>
    </row>
    <row r="25" customFormat="false" ht="23.85" hidden="false" customHeight="false" outlineLevel="0" collapsed="false">
      <c r="A25" s="4" t="n">
        <v>21</v>
      </c>
      <c r="B25" s="5" t="s">
        <v>32</v>
      </c>
      <c r="C25" s="4" t="s">
        <v>54</v>
      </c>
      <c r="D25" s="6" t="s">
        <v>55</v>
      </c>
      <c r="E25" s="14" t="s">
        <v>56</v>
      </c>
      <c r="F25" s="7"/>
      <c r="G25" s="8" t="s">
        <v>57</v>
      </c>
    </row>
    <row r="26" customFormat="false" ht="15" hidden="false" customHeight="false" outlineLevel="0" collapsed="false">
      <c r="A26" s="9" t="n">
        <v>22</v>
      </c>
      <c r="B26" s="10" t="s">
        <v>32</v>
      </c>
      <c r="C26" s="9" t="s">
        <v>58</v>
      </c>
      <c r="D26" s="11" t="s">
        <v>59</v>
      </c>
      <c r="E26" s="9" t="s">
        <v>12</v>
      </c>
      <c r="F26" s="12"/>
      <c r="G26" s="13"/>
    </row>
    <row r="27" customFormat="false" ht="23.85" hidden="false" customHeight="false" outlineLevel="0" collapsed="false">
      <c r="A27" s="4" t="n">
        <v>23</v>
      </c>
      <c r="B27" s="5" t="s">
        <v>32</v>
      </c>
      <c r="C27" s="4" t="s">
        <v>60</v>
      </c>
      <c r="D27" s="6" t="s">
        <v>61</v>
      </c>
      <c r="E27" s="4" t="s">
        <v>12</v>
      </c>
      <c r="F27" s="7"/>
      <c r="G27" s="8" t="s">
        <v>62</v>
      </c>
    </row>
    <row r="28" customFormat="false" ht="15" hidden="false" customHeight="false" outlineLevel="0" collapsed="false">
      <c r="A28" s="9" t="n">
        <v>24</v>
      </c>
      <c r="B28" s="10" t="s">
        <v>32</v>
      </c>
      <c r="C28" s="9" t="s">
        <v>63</v>
      </c>
      <c r="D28" s="11" t="s">
        <v>64</v>
      </c>
      <c r="E28" s="9" t="s">
        <v>12</v>
      </c>
      <c r="F28" s="12"/>
      <c r="G28" s="13"/>
    </row>
    <row r="29" customFormat="false" ht="15" hidden="false" customHeight="false" outlineLevel="0" collapsed="false">
      <c r="A29" s="4" t="n">
        <v>25</v>
      </c>
      <c r="B29" s="5" t="s">
        <v>32</v>
      </c>
      <c r="C29" s="4" t="s">
        <v>65</v>
      </c>
      <c r="D29" s="6" t="s">
        <v>66</v>
      </c>
      <c r="E29" s="4" t="s">
        <v>12</v>
      </c>
      <c r="F29" s="7"/>
      <c r="G29" s="8"/>
    </row>
    <row r="30" customFormat="false" ht="15" hidden="false" customHeight="false" outlineLevel="0" collapsed="false">
      <c r="A30" s="9" t="n">
        <v>26</v>
      </c>
      <c r="B30" s="10" t="s">
        <v>32</v>
      </c>
      <c r="C30" s="9" t="s">
        <v>67</v>
      </c>
      <c r="D30" s="11" t="s">
        <v>68</v>
      </c>
      <c r="E30" s="9" t="s">
        <v>12</v>
      </c>
      <c r="F30" s="12"/>
      <c r="G30" s="13"/>
    </row>
    <row r="31" customFormat="false" ht="15" hidden="false" customHeight="false" outlineLevel="0" collapsed="false">
      <c r="A31" s="4" t="n">
        <v>27</v>
      </c>
      <c r="B31" s="5" t="s">
        <v>32</v>
      </c>
      <c r="C31" s="4" t="s">
        <v>69</v>
      </c>
      <c r="D31" s="6" t="s">
        <v>70</v>
      </c>
      <c r="E31" s="4" t="s">
        <v>12</v>
      </c>
      <c r="F31" s="7"/>
      <c r="G31" s="8"/>
    </row>
    <row r="32" customFormat="false" ht="15" hidden="false" customHeight="false" outlineLevel="0" collapsed="false">
      <c r="A32" s="9" t="n">
        <v>28</v>
      </c>
      <c r="B32" s="10" t="s">
        <v>32</v>
      </c>
      <c r="C32" s="9" t="s">
        <v>71</v>
      </c>
      <c r="D32" s="11" t="s">
        <v>72</v>
      </c>
      <c r="E32" s="9" t="s">
        <v>12</v>
      </c>
      <c r="F32" s="12"/>
      <c r="G32" s="13"/>
    </row>
    <row r="33" customFormat="false" ht="15" hidden="false" customHeight="false" outlineLevel="0" collapsed="false">
      <c r="A33" s="4" t="n">
        <v>29</v>
      </c>
      <c r="B33" s="5" t="s">
        <v>32</v>
      </c>
      <c r="C33" s="4" t="s">
        <v>73</v>
      </c>
      <c r="D33" s="6" t="s">
        <v>74</v>
      </c>
      <c r="E33" s="4" t="s">
        <v>12</v>
      </c>
      <c r="F33" s="7"/>
      <c r="G33" s="8"/>
    </row>
    <row r="34" customFormat="false" ht="15" hidden="false" customHeight="false" outlineLevel="0" collapsed="false">
      <c r="A34" s="9" t="n">
        <v>30</v>
      </c>
      <c r="B34" s="10" t="s">
        <v>32</v>
      </c>
      <c r="C34" s="9" t="s">
        <v>75</v>
      </c>
      <c r="D34" s="11" t="s">
        <v>76</v>
      </c>
      <c r="E34" s="9" t="s">
        <v>12</v>
      </c>
      <c r="F34" s="12"/>
      <c r="G34" s="13"/>
    </row>
    <row r="35" customFormat="false" ht="15" hidden="false" customHeight="false" outlineLevel="0" collapsed="false">
      <c r="A35" s="4" t="n">
        <v>31</v>
      </c>
      <c r="B35" s="5" t="s">
        <v>32</v>
      </c>
      <c r="C35" s="4" t="s">
        <v>77</v>
      </c>
      <c r="D35" s="6" t="s">
        <v>78</v>
      </c>
      <c r="E35" s="4" t="s">
        <v>12</v>
      </c>
      <c r="F35" s="7"/>
      <c r="G35" s="8"/>
    </row>
    <row r="36" customFormat="false" ht="15" hidden="false" customHeight="false" outlineLevel="0" collapsed="false">
      <c r="A36" s="9" t="n">
        <v>32</v>
      </c>
      <c r="B36" s="10" t="s">
        <v>79</v>
      </c>
      <c r="C36" s="9" t="s">
        <v>80</v>
      </c>
      <c r="D36" s="11" t="s">
        <v>81</v>
      </c>
      <c r="E36" s="9" t="s">
        <v>12</v>
      </c>
      <c r="F36" s="12"/>
      <c r="G36" s="13"/>
    </row>
    <row r="37" customFormat="false" ht="15" hidden="false" customHeight="false" outlineLevel="0" collapsed="false">
      <c r="A37" s="4" t="n">
        <v>33</v>
      </c>
      <c r="B37" s="5" t="s">
        <v>79</v>
      </c>
      <c r="C37" s="4" t="s">
        <v>82</v>
      </c>
      <c r="D37" s="6" t="s">
        <v>83</v>
      </c>
      <c r="E37" s="4" t="s">
        <v>12</v>
      </c>
      <c r="F37" s="7"/>
      <c r="G37" s="8"/>
    </row>
    <row r="38" customFormat="false" ht="15" hidden="false" customHeight="false" outlineLevel="0" collapsed="false">
      <c r="A38" s="9" t="n">
        <v>34</v>
      </c>
      <c r="B38" s="10" t="s">
        <v>79</v>
      </c>
      <c r="C38" s="9" t="s">
        <v>84</v>
      </c>
      <c r="D38" s="11" t="s">
        <v>85</v>
      </c>
      <c r="E38" s="9" t="s">
        <v>12</v>
      </c>
      <c r="F38" s="12"/>
      <c r="G38" s="13"/>
    </row>
    <row r="39" customFormat="false" ht="15" hidden="false" customHeight="false" outlineLevel="0" collapsed="false">
      <c r="A39" s="4" t="n">
        <v>35</v>
      </c>
      <c r="B39" s="5" t="s">
        <v>79</v>
      </c>
      <c r="C39" s="4" t="s">
        <v>86</v>
      </c>
      <c r="D39" s="6" t="s">
        <v>87</v>
      </c>
      <c r="E39" s="4" t="s">
        <v>12</v>
      </c>
      <c r="F39" s="7"/>
      <c r="G39" s="8"/>
    </row>
    <row r="40" customFormat="false" ht="15" hidden="false" customHeight="false" outlineLevel="0" collapsed="false">
      <c r="A40" s="9" t="n">
        <v>36</v>
      </c>
      <c r="B40" s="10" t="s">
        <v>79</v>
      </c>
      <c r="C40" s="9" t="s">
        <v>88</v>
      </c>
      <c r="D40" s="11" t="s">
        <v>89</v>
      </c>
      <c r="E40" s="9" t="s">
        <v>12</v>
      </c>
      <c r="F40" s="12"/>
      <c r="G40" s="13"/>
    </row>
    <row r="41" customFormat="false" ht="15" hidden="false" customHeight="false" outlineLevel="0" collapsed="false">
      <c r="A41" s="4" t="n">
        <v>37</v>
      </c>
      <c r="B41" s="5" t="s">
        <v>79</v>
      </c>
      <c r="C41" s="4" t="s">
        <v>90</v>
      </c>
      <c r="D41" s="6" t="s">
        <v>91</v>
      </c>
      <c r="E41" s="4" t="s">
        <v>12</v>
      </c>
      <c r="F41" s="7"/>
      <c r="G41" s="8"/>
    </row>
    <row r="42" customFormat="false" ht="15" hidden="false" customHeight="false" outlineLevel="0" collapsed="false">
      <c r="A42" s="9" t="n">
        <v>38</v>
      </c>
      <c r="B42" s="10" t="s">
        <v>79</v>
      </c>
      <c r="C42" s="9" t="s">
        <v>92</v>
      </c>
      <c r="D42" s="11" t="s">
        <v>93</v>
      </c>
      <c r="E42" s="9" t="s">
        <v>12</v>
      </c>
      <c r="F42" s="12"/>
      <c r="G42" s="13"/>
    </row>
    <row r="43" customFormat="false" ht="15" hidden="false" customHeight="false" outlineLevel="0" collapsed="false">
      <c r="A43" s="4" t="n">
        <v>39</v>
      </c>
      <c r="B43" s="5" t="s">
        <v>79</v>
      </c>
      <c r="C43" s="4" t="s">
        <v>94</v>
      </c>
      <c r="D43" s="6" t="s">
        <v>95</v>
      </c>
      <c r="E43" s="4" t="s">
        <v>12</v>
      </c>
      <c r="F43" s="7"/>
      <c r="G43" s="8"/>
    </row>
    <row r="44" customFormat="false" ht="15" hidden="false" customHeight="false" outlineLevel="0" collapsed="false">
      <c r="A44" s="9" t="n">
        <v>40</v>
      </c>
      <c r="B44" s="10" t="s">
        <v>79</v>
      </c>
      <c r="C44" s="9" t="s">
        <v>96</v>
      </c>
      <c r="D44" s="11" t="s">
        <v>97</v>
      </c>
      <c r="E44" s="9" t="s">
        <v>12</v>
      </c>
      <c r="F44" s="12"/>
      <c r="G44" s="13"/>
    </row>
    <row r="45" customFormat="false" ht="15" hidden="false" customHeight="false" outlineLevel="0" collapsed="false">
      <c r="A45" s="4" t="n">
        <v>41</v>
      </c>
      <c r="B45" s="5" t="s">
        <v>79</v>
      </c>
      <c r="C45" s="4" t="s">
        <v>98</v>
      </c>
      <c r="D45" s="6" t="s">
        <v>99</v>
      </c>
      <c r="E45" s="4" t="s">
        <v>12</v>
      </c>
      <c r="F45" s="7"/>
      <c r="G45" s="8"/>
    </row>
    <row r="46" customFormat="false" ht="15" hidden="false" customHeight="false" outlineLevel="0" collapsed="false">
      <c r="A46" s="9" t="n">
        <v>42</v>
      </c>
      <c r="B46" s="10" t="s">
        <v>79</v>
      </c>
      <c r="C46" s="9" t="s">
        <v>100</v>
      </c>
      <c r="D46" s="11" t="s">
        <v>101</v>
      </c>
      <c r="E46" s="9" t="s">
        <v>12</v>
      </c>
      <c r="F46" s="12"/>
      <c r="G46" s="13"/>
    </row>
    <row r="47" customFormat="false" ht="15" hidden="false" customHeight="false" outlineLevel="0" collapsed="false">
      <c r="A47" s="4" t="n">
        <v>43</v>
      </c>
      <c r="B47" s="5" t="s">
        <v>79</v>
      </c>
      <c r="C47" s="4" t="s">
        <v>102</v>
      </c>
      <c r="D47" s="6" t="s">
        <v>103</v>
      </c>
      <c r="E47" s="4" t="s">
        <v>12</v>
      </c>
      <c r="F47" s="7"/>
      <c r="G47" s="8"/>
    </row>
    <row r="48" customFormat="false" ht="15" hidden="false" customHeight="false" outlineLevel="0" collapsed="false">
      <c r="A48" s="9" t="n">
        <v>44</v>
      </c>
      <c r="B48" s="10" t="s">
        <v>79</v>
      </c>
      <c r="C48" s="9" t="s">
        <v>104</v>
      </c>
      <c r="D48" s="11" t="s">
        <v>105</v>
      </c>
      <c r="E48" s="9" t="s">
        <v>12</v>
      </c>
      <c r="F48" s="12"/>
      <c r="G48" s="13"/>
    </row>
    <row r="49" customFormat="false" ht="15" hidden="false" customHeight="false" outlineLevel="0" collapsed="false">
      <c r="A49" s="4" t="n">
        <v>45</v>
      </c>
      <c r="B49" s="5" t="s">
        <v>79</v>
      </c>
      <c r="C49" s="4" t="s">
        <v>106</v>
      </c>
      <c r="D49" s="6" t="s">
        <v>107</v>
      </c>
      <c r="E49" s="4" t="s">
        <v>12</v>
      </c>
      <c r="F49" s="7"/>
      <c r="G49" s="8"/>
    </row>
    <row r="50" customFormat="false" ht="15" hidden="false" customHeight="false" outlineLevel="0" collapsed="false">
      <c r="A50" s="9" t="n">
        <v>46</v>
      </c>
      <c r="B50" s="10" t="s">
        <v>79</v>
      </c>
      <c r="C50" s="9" t="s">
        <v>108</v>
      </c>
      <c r="D50" s="11" t="s">
        <v>109</v>
      </c>
      <c r="E50" s="9" t="s">
        <v>12</v>
      </c>
      <c r="F50" s="12"/>
      <c r="G50" s="13"/>
    </row>
    <row r="51" customFormat="false" ht="23.85" hidden="false" customHeight="false" outlineLevel="0" collapsed="false">
      <c r="A51" s="4" t="n">
        <v>47</v>
      </c>
      <c r="B51" s="5" t="s">
        <v>79</v>
      </c>
      <c r="C51" s="4" t="s">
        <v>110</v>
      </c>
      <c r="D51" s="6" t="s">
        <v>111</v>
      </c>
      <c r="E51" s="4" t="s">
        <v>12</v>
      </c>
      <c r="F51" s="7"/>
      <c r="G51" s="8" t="s">
        <v>112</v>
      </c>
    </row>
    <row r="52" customFormat="false" ht="15" hidden="false" customHeight="false" outlineLevel="0" collapsed="false">
      <c r="A52" s="9" t="n">
        <v>48</v>
      </c>
      <c r="B52" s="10" t="s">
        <v>79</v>
      </c>
      <c r="C52" s="9" t="s">
        <v>113</v>
      </c>
      <c r="D52" s="11" t="s">
        <v>114</v>
      </c>
      <c r="E52" s="15" t="s">
        <v>56</v>
      </c>
      <c r="F52" s="12"/>
      <c r="G52" s="13" t="s">
        <v>115</v>
      </c>
    </row>
    <row r="53" customFormat="false" ht="15" hidden="false" customHeight="false" outlineLevel="0" collapsed="false">
      <c r="A53" s="4" t="n">
        <v>49</v>
      </c>
      <c r="B53" s="5" t="s">
        <v>79</v>
      </c>
      <c r="C53" s="4" t="s">
        <v>116</v>
      </c>
      <c r="D53" s="6" t="s">
        <v>117</v>
      </c>
      <c r="E53" s="4" t="s">
        <v>12</v>
      </c>
      <c r="F53" s="7"/>
      <c r="G53" s="8"/>
    </row>
    <row r="54" customFormat="false" ht="15" hidden="false" customHeight="false" outlineLevel="0" collapsed="false">
      <c r="A54" s="9" t="n">
        <v>50</v>
      </c>
      <c r="B54" s="10" t="s">
        <v>79</v>
      </c>
      <c r="C54" s="9" t="s">
        <v>118</v>
      </c>
      <c r="D54" s="11" t="s">
        <v>119</v>
      </c>
      <c r="E54" s="15" t="s">
        <v>56</v>
      </c>
      <c r="F54" s="12"/>
      <c r="G54" s="13" t="s">
        <v>120</v>
      </c>
    </row>
    <row r="55" customFormat="false" ht="15" hidden="false" customHeight="false" outlineLevel="0" collapsed="false">
      <c r="A55" s="4" t="n">
        <v>51</v>
      </c>
      <c r="B55" s="5" t="s">
        <v>79</v>
      </c>
      <c r="C55" s="4" t="s">
        <v>121</v>
      </c>
      <c r="D55" s="6" t="s">
        <v>122</v>
      </c>
      <c r="E55" s="14" t="s">
        <v>56</v>
      </c>
      <c r="F55" s="7"/>
      <c r="G55" s="8" t="s">
        <v>123</v>
      </c>
    </row>
    <row r="56" customFormat="false" ht="15" hidden="false" customHeight="false" outlineLevel="0" collapsed="false">
      <c r="A56" s="9" t="n">
        <v>52</v>
      </c>
      <c r="B56" s="10" t="s">
        <v>124</v>
      </c>
      <c r="C56" s="9" t="s">
        <v>125</v>
      </c>
      <c r="D56" s="11" t="s">
        <v>126</v>
      </c>
      <c r="E56" s="9" t="s">
        <v>12</v>
      </c>
      <c r="F56" s="12"/>
      <c r="G56" s="13"/>
    </row>
    <row r="57" customFormat="false" ht="15" hidden="false" customHeight="false" outlineLevel="0" collapsed="false">
      <c r="A57" s="4" t="n">
        <v>53</v>
      </c>
      <c r="B57" s="5" t="s">
        <v>124</v>
      </c>
      <c r="C57" s="4" t="s">
        <v>127</v>
      </c>
      <c r="D57" s="6" t="s">
        <v>128</v>
      </c>
      <c r="E57" s="4" t="s">
        <v>12</v>
      </c>
      <c r="F57" s="7"/>
      <c r="G57" s="8"/>
    </row>
    <row r="58" customFormat="false" ht="15" hidden="false" customHeight="false" outlineLevel="0" collapsed="false">
      <c r="A58" s="9" t="n">
        <v>54</v>
      </c>
      <c r="B58" s="10" t="s">
        <v>124</v>
      </c>
      <c r="C58" s="9" t="s">
        <v>129</v>
      </c>
      <c r="D58" s="11" t="s">
        <v>130</v>
      </c>
      <c r="E58" s="9" t="s">
        <v>12</v>
      </c>
      <c r="F58" s="12"/>
      <c r="G58" s="13"/>
    </row>
    <row r="59" customFormat="false" ht="23.85" hidden="false" customHeight="false" outlineLevel="0" collapsed="false">
      <c r="A59" s="4" t="n">
        <v>55</v>
      </c>
      <c r="B59" s="5" t="s">
        <v>124</v>
      </c>
      <c r="C59" s="4" t="s">
        <v>131</v>
      </c>
      <c r="D59" s="6" t="s">
        <v>132</v>
      </c>
      <c r="E59" s="4" t="s">
        <v>12</v>
      </c>
      <c r="F59" s="7"/>
      <c r="G59" s="8" t="s">
        <v>133</v>
      </c>
    </row>
    <row r="60" customFormat="false" ht="15" hidden="false" customHeight="false" outlineLevel="0" collapsed="false">
      <c r="A60" s="9" t="n">
        <v>56</v>
      </c>
      <c r="B60" s="10" t="s">
        <v>124</v>
      </c>
      <c r="C60" s="9" t="s">
        <v>134</v>
      </c>
      <c r="D60" s="11" t="s">
        <v>135</v>
      </c>
      <c r="E60" s="9" t="s">
        <v>12</v>
      </c>
      <c r="F60" s="12"/>
      <c r="G60" s="13"/>
    </row>
    <row r="61" customFormat="false" ht="15" hidden="false" customHeight="false" outlineLevel="0" collapsed="false">
      <c r="A61" s="4" t="n">
        <v>57</v>
      </c>
      <c r="B61" s="5" t="s">
        <v>124</v>
      </c>
      <c r="C61" s="4" t="s">
        <v>136</v>
      </c>
      <c r="D61" s="6" t="s">
        <v>137</v>
      </c>
      <c r="E61" s="4" t="s">
        <v>12</v>
      </c>
      <c r="F61" s="7"/>
      <c r="G61" s="8"/>
    </row>
    <row r="62" customFormat="false" ht="15" hidden="false" customHeight="false" outlineLevel="0" collapsed="false">
      <c r="A62" s="9" t="n">
        <v>58</v>
      </c>
      <c r="B62" s="10" t="s">
        <v>124</v>
      </c>
      <c r="C62" s="9" t="s">
        <v>138</v>
      </c>
      <c r="D62" s="11" t="s">
        <v>139</v>
      </c>
      <c r="E62" s="9" t="s">
        <v>12</v>
      </c>
      <c r="F62" s="12"/>
      <c r="G62" s="13"/>
    </row>
    <row r="63" customFormat="false" ht="15" hidden="false" customHeight="false" outlineLevel="0" collapsed="false">
      <c r="A63" s="4" t="n">
        <v>59</v>
      </c>
      <c r="B63" s="5" t="s">
        <v>124</v>
      </c>
      <c r="C63" s="4" t="s">
        <v>140</v>
      </c>
      <c r="D63" s="6" t="s">
        <v>141</v>
      </c>
      <c r="E63" s="4" t="s">
        <v>12</v>
      </c>
      <c r="F63" s="7"/>
      <c r="G63" s="8"/>
    </row>
    <row r="64" customFormat="false" ht="15" hidden="false" customHeight="false" outlineLevel="0" collapsed="false">
      <c r="A64" s="9" t="n">
        <v>60</v>
      </c>
      <c r="B64" s="10" t="s">
        <v>124</v>
      </c>
      <c r="C64" s="9" t="s">
        <v>142</v>
      </c>
      <c r="D64" s="11" t="s">
        <v>143</v>
      </c>
      <c r="E64" s="9" t="s">
        <v>12</v>
      </c>
      <c r="F64" s="12"/>
      <c r="G64" s="13"/>
    </row>
    <row r="65" customFormat="false" ht="15" hidden="false" customHeight="false" outlineLevel="0" collapsed="false">
      <c r="A65" s="4" t="n">
        <v>61</v>
      </c>
      <c r="B65" s="5" t="s">
        <v>124</v>
      </c>
      <c r="C65" s="4" t="s">
        <v>144</v>
      </c>
      <c r="D65" s="6" t="s">
        <v>145</v>
      </c>
      <c r="E65" s="4" t="s">
        <v>12</v>
      </c>
      <c r="F65" s="7"/>
      <c r="G65" s="8"/>
    </row>
    <row r="66" customFormat="false" ht="23.85" hidden="false" customHeight="false" outlineLevel="0" collapsed="false">
      <c r="A66" s="9" t="n">
        <v>62</v>
      </c>
      <c r="B66" s="10" t="s">
        <v>124</v>
      </c>
      <c r="C66" s="9" t="s">
        <v>146</v>
      </c>
      <c r="D66" s="11" t="s">
        <v>147</v>
      </c>
      <c r="E66" s="9" t="s">
        <v>12</v>
      </c>
      <c r="F66" s="12"/>
      <c r="G66" s="13" t="s">
        <v>148</v>
      </c>
    </row>
    <row r="67" customFormat="false" ht="15" hidden="false" customHeight="false" outlineLevel="0" collapsed="false">
      <c r="A67" s="4" t="n">
        <v>63</v>
      </c>
      <c r="B67" s="5" t="s">
        <v>124</v>
      </c>
      <c r="C67" s="4" t="s">
        <v>149</v>
      </c>
      <c r="D67" s="6" t="s">
        <v>150</v>
      </c>
      <c r="E67" s="4" t="s">
        <v>12</v>
      </c>
      <c r="F67" s="7"/>
      <c r="G67" s="8"/>
    </row>
    <row r="68" customFormat="false" ht="15" hidden="false" customHeight="false" outlineLevel="0" collapsed="false">
      <c r="A68" s="9" t="n">
        <v>64</v>
      </c>
      <c r="B68" s="10" t="s">
        <v>124</v>
      </c>
      <c r="C68" s="9" t="s">
        <v>151</v>
      </c>
      <c r="D68" s="11" t="s">
        <v>152</v>
      </c>
      <c r="E68" s="9" t="s">
        <v>12</v>
      </c>
      <c r="F68" s="12"/>
      <c r="G68" s="13"/>
    </row>
    <row r="69" customFormat="false" ht="23.85" hidden="false" customHeight="false" outlineLevel="0" collapsed="false">
      <c r="A69" s="4" t="n">
        <v>65</v>
      </c>
      <c r="B69" s="5" t="s">
        <v>124</v>
      </c>
      <c r="C69" s="4" t="s">
        <v>153</v>
      </c>
      <c r="D69" s="6" t="s">
        <v>154</v>
      </c>
      <c r="E69" s="14" t="s">
        <v>155</v>
      </c>
      <c r="F69" s="7"/>
      <c r="G69" s="8" t="s">
        <v>156</v>
      </c>
    </row>
    <row r="70" customFormat="false" ht="15" hidden="false" customHeight="false" outlineLevel="0" collapsed="false">
      <c r="A70" s="9" t="n">
        <v>66</v>
      </c>
      <c r="B70" s="10" t="s">
        <v>157</v>
      </c>
      <c r="C70" s="9" t="s">
        <v>158</v>
      </c>
      <c r="D70" s="11" t="s">
        <v>159</v>
      </c>
      <c r="E70" s="9" t="s">
        <v>12</v>
      </c>
      <c r="F70" s="12"/>
      <c r="G70" s="13"/>
    </row>
    <row r="71" customFormat="false" ht="15" hidden="false" customHeight="false" outlineLevel="0" collapsed="false">
      <c r="A71" s="4" t="n">
        <v>67</v>
      </c>
      <c r="B71" s="5" t="s">
        <v>157</v>
      </c>
      <c r="C71" s="4" t="s">
        <v>160</v>
      </c>
      <c r="D71" s="6" t="s">
        <v>161</v>
      </c>
      <c r="E71" s="4" t="s">
        <v>12</v>
      </c>
      <c r="F71" s="7"/>
      <c r="G71" s="8"/>
    </row>
    <row r="72" customFormat="false" ht="15" hidden="false" customHeight="false" outlineLevel="0" collapsed="false">
      <c r="A72" s="9" t="n">
        <v>68</v>
      </c>
      <c r="B72" s="10" t="s">
        <v>157</v>
      </c>
      <c r="C72" s="9" t="s">
        <v>162</v>
      </c>
      <c r="D72" s="11" t="s">
        <v>163</v>
      </c>
      <c r="E72" s="9" t="s">
        <v>12</v>
      </c>
      <c r="F72" s="12"/>
      <c r="G72" s="13"/>
    </row>
    <row r="73" customFormat="false" ht="23.85" hidden="false" customHeight="false" outlineLevel="0" collapsed="false">
      <c r="A73" s="4" t="n">
        <v>69</v>
      </c>
      <c r="B73" s="5" t="s">
        <v>157</v>
      </c>
      <c r="C73" s="4" t="s">
        <v>164</v>
      </c>
      <c r="D73" s="6" t="s">
        <v>165</v>
      </c>
      <c r="E73" s="4" t="s">
        <v>12</v>
      </c>
      <c r="F73" s="7"/>
      <c r="G73" s="8"/>
    </row>
    <row r="74" customFormat="false" ht="15" hidden="false" customHeight="false" outlineLevel="0" collapsed="false">
      <c r="A74" s="9" t="n">
        <v>70</v>
      </c>
      <c r="B74" s="10" t="s">
        <v>157</v>
      </c>
      <c r="C74" s="9" t="s">
        <v>166</v>
      </c>
      <c r="D74" s="11" t="s">
        <v>167</v>
      </c>
      <c r="E74" s="9" t="s">
        <v>12</v>
      </c>
      <c r="F74" s="12"/>
      <c r="G74" s="13"/>
    </row>
    <row r="75" customFormat="false" ht="15" hidden="false" customHeight="false" outlineLevel="0" collapsed="false">
      <c r="A75" s="4" t="n">
        <v>71</v>
      </c>
      <c r="B75" s="5" t="s">
        <v>157</v>
      </c>
      <c r="C75" s="4" t="s">
        <v>168</v>
      </c>
      <c r="D75" s="6" t="s">
        <v>169</v>
      </c>
      <c r="E75" s="4" t="s">
        <v>12</v>
      </c>
      <c r="F75" s="7"/>
      <c r="G75" s="8"/>
    </row>
    <row r="76" customFormat="false" ht="15" hidden="false" customHeight="false" outlineLevel="0" collapsed="false">
      <c r="A76" s="9" t="n">
        <v>72</v>
      </c>
      <c r="B76" s="10" t="s">
        <v>157</v>
      </c>
      <c r="C76" s="9" t="s">
        <v>170</v>
      </c>
      <c r="D76" s="11" t="s">
        <v>171</v>
      </c>
      <c r="E76" s="9" t="s">
        <v>12</v>
      </c>
      <c r="F76" s="12"/>
      <c r="G76" s="13"/>
    </row>
    <row r="77" customFormat="false" ht="15" hidden="false" customHeight="false" outlineLevel="0" collapsed="false">
      <c r="A77" s="4" t="n">
        <v>73</v>
      </c>
      <c r="B77" s="5" t="s">
        <v>157</v>
      </c>
      <c r="C77" s="4" t="s">
        <v>172</v>
      </c>
      <c r="D77" s="6" t="s">
        <v>173</v>
      </c>
      <c r="E77" s="4" t="s">
        <v>12</v>
      </c>
      <c r="F77" s="7"/>
      <c r="G77" s="8"/>
    </row>
    <row r="78" customFormat="false" ht="23.85" hidden="false" customHeight="false" outlineLevel="0" collapsed="false">
      <c r="A78" s="9" t="n">
        <v>74</v>
      </c>
      <c r="B78" s="10" t="s">
        <v>157</v>
      </c>
      <c r="C78" s="9" t="s">
        <v>174</v>
      </c>
      <c r="D78" s="11" t="s">
        <v>175</v>
      </c>
      <c r="E78" s="9" t="s">
        <v>12</v>
      </c>
      <c r="F78" s="12"/>
      <c r="G78" s="13" t="s">
        <v>176</v>
      </c>
    </row>
    <row r="79" customFormat="false" ht="15" hidden="false" customHeight="false" outlineLevel="0" collapsed="false">
      <c r="A79" s="4" t="n">
        <v>75</v>
      </c>
      <c r="B79" s="5" t="s">
        <v>177</v>
      </c>
      <c r="C79" s="4" t="s">
        <v>178</v>
      </c>
      <c r="D79" s="6" t="s">
        <v>179</v>
      </c>
      <c r="E79" s="4" t="s">
        <v>12</v>
      </c>
      <c r="F79" s="7"/>
      <c r="G79" s="8"/>
    </row>
    <row r="80" customFormat="false" ht="15" hidden="false" customHeight="false" outlineLevel="0" collapsed="false">
      <c r="A80" s="9" t="n">
        <v>76</v>
      </c>
      <c r="B80" s="10" t="s">
        <v>177</v>
      </c>
      <c r="C80" s="9" t="s">
        <v>180</v>
      </c>
      <c r="D80" s="11" t="s">
        <v>181</v>
      </c>
      <c r="E80" s="9" t="s">
        <v>12</v>
      </c>
      <c r="F80" s="12"/>
      <c r="G80" s="13"/>
    </row>
    <row r="81" customFormat="false" ht="15" hidden="false" customHeight="false" outlineLevel="0" collapsed="false">
      <c r="A81" s="4" t="n">
        <v>77</v>
      </c>
      <c r="B81" s="5" t="s">
        <v>177</v>
      </c>
      <c r="C81" s="4" t="s">
        <v>182</v>
      </c>
      <c r="D81" s="6" t="s">
        <v>183</v>
      </c>
      <c r="E81" s="4" t="s">
        <v>12</v>
      </c>
      <c r="F81" s="7"/>
      <c r="G81" s="8"/>
    </row>
    <row r="82" customFormat="false" ht="15" hidden="false" customHeight="false" outlineLevel="0" collapsed="false">
      <c r="A82" s="9" t="n">
        <v>78</v>
      </c>
      <c r="B82" s="10" t="s">
        <v>177</v>
      </c>
      <c r="C82" s="9" t="s">
        <v>184</v>
      </c>
      <c r="D82" s="11" t="s">
        <v>185</v>
      </c>
      <c r="E82" s="9" t="s">
        <v>12</v>
      </c>
      <c r="F82" s="12"/>
      <c r="G82" s="13"/>
    </row>
    <row r="83" customFormat="false" ht="15" hidden="false" customHeight="false" outlineLevel="0" collapsed="false">
      <c r="A83" s="4" t="n">
        <v>79</v>
      </c>
      <c r="B83" s="5" t="s">
        <v>177</v>
      </c>
      <c r="C83" s="4" t="s">
        <v>186</v>
      </c>
      <c r="D83" s="6" t="s">
        <v>187</v>
      </c>
      <c r="E83" s="4" t="s">
        <v>12</v>
      </c>
      <c r="F83" s="7"/>
      <c r="G83" s="8"/>
    </row>
    <row r="84" customFormat="false" ht="15" hidden="false" customHeight="false" outlineLevel="0" collapsed="false">
      <c r="A84" s="9" t="n">
        <v>80</v>
      </c>
      <c r="B84" s="10" t="s">
        <v>177</v>
      </c>
      <c r="C84" s="9" t="s">
        <v>188</v>
      </c>
      <c r="D84" s="11" t="s">
        <v>189</v>
      </c>
      <c r="E84" s="9" t="s">
        <v>12</v>
      </c>
      <c r="F84" s="12"/>
      <c r="G84" s="13"/>
    </row>
    <row r="85" customFormat="false" ht="15" hidden="false" customHeight="false" outlineLevel="0" collapsed="false">
      <c r="A85" s="4" t="n">
        <v>81</v>
      </c>
      <c r="B85" s="5" t="s">
        <v>177</v>
      </c>
      <c r="C85" s="4" t="s">
        <v>190</v>
      </c>
      <c r="D85" s="6" t="s">
        <v>191</v>
      </c>
      <c r="E85" s="4" t="s">
        <v>12</v>
      </c>
      <c r="F85" s="7"/>
      <c r="G85" s="8"/>
    </row>
    <row r="86" customFormat="false" ht="15" hidden="false" customHeight="false" outlineLevel="0" collapsed="false">
      <c r="A86" s="9" t="n">
        <v>82</v>
      </c>
      <c r="B86" s="10" t="s">
        <v>177</v>
      </c>
      <c r="C86" s="9" t="s">
        <v>192</v>
      </c>
      <c r="D86" s="11" t="s">
        <v>193</v>
      </c>
      <c r="E86" s="9" t="s">
        <v>12</v>
      </c>
      <c r="F86" s="12"/>
      <c r="G86" s="13"/>
    </row>
    <row r="87" customFormat="false" ht="15" hidden="false" customHeight="false" outlineLevel="0" collapsed="false">
      <c r="A87" s="4" t="n">
        <v>83</v>
      </c>
      <c r="B87" s="5" t="s">
        <v>177</v>
      </c>
      <c r="C87" s="4" t="s">
        <v>194</v>
      </c>
      <c r="D87" s="6" t="s">
        <v>195</v>
      </c>
      <c r="E87" s="4" t="s">
        <v>12</v>
      </c>
      <c r="F87" s="7"/>
      <c r="G87" s="8" t="s">
        <v>196</v>
      </c>
    </row>
    <row r="88" customFormat="false" ht="15" hidden="false" customHeight="false" outlineLevel="0" collapsed="false">
      <c r="A88" s="9" t="n">
        <v>84</v>
      </c>
      <c r="B88" s="10" t="s">
        <v>177</v>
      </c>
      <c r="C88" s="9" t="s">
        <v>197</v>
      </c>
      <c r="D88" s="11" t="s">
        <v>198</v>
      </c>
      <c r="E88" s="9" t="s">
        <v>12</v>
      </c>
      <c r="F88" s="12"/>
      <c r="G88" s="13" t="s">
        <v>199</v>
      </c>
    </row>
    <row r="89" customFormat="false" ht="23.85" hidden="false" customHeight="false" outlineLevel="0" collapsed="false">
      <c r="A89" s="4" t="n">
        <v>85</v>
      </c>
      <c r="B89" s="5" t="s">
        <v>177</v>
      </c>
      <c r="C89" s="4" t="s">
        <v>200</v>
      </c>
      <c r="D89" s="6" t="s">
        <v>201</v>
      </c>
      <c r="E89" s="14" t="s">
        <v>56</v>
      </c>
      <c r="F89" s="7"/>
      <c r="G89" s="8" t="s">
        <v>202</v>
      </c>
    </row>
    <row r="90" customFormat="false" ht="15" hidden="false" customHeight="false" outlineLevel="0" collapsed="false">
      <c r="A90" s="9" t="n">
        <v>86</v>
      </c>
      <c r="B90" s="10" t="s">
        <v>203</v>
      </c>
      <c r="C90" s="9" t="s">
        <v>204</v>
      </c>
      <c r="D90" s="11" t="s">
        <v>205</v>
      </c>
      <c r="E90" s="9" t="s">
        <v>12</v>
      </c>
      <c r="F90" s="12"/>
      <c r="G90" s="13"/>
    </row>
    <row r="91" customFormat="false" ht="15" hidden="false" customHeight="false" outlineLevel="0" collapsed="false">
      <c r="A91" s="4" t="n">
        <v>87</v>
      </c>
      <c r="B91" s="5" t="s">
        <v>203</v>
      </c>
      <c r="C91" s="4" t="s">
        <v>206</v>
      </c>
      <c r="D91" s="6" t="s">
        <v>207</v>
      </c>
      <c r="E91" s="4" t="s">
        <v>12</v>
      </c>
      <c r="F91" s="7"/>
      <c r="G91" s="8"/>
    </row>
    <row r="92" customFormat="false" ht="15" hidden="false" customHeight="false" outlineLevel="0" collapsed="false">
      <c r="A92" s="9" t="n">
        <v>88</v>
      </c>
      <c r="B92" s="10" t="s">
        <v>203</v>
      </c>
      <c r="C92" s="9" t="s">
        <v>208</v>
      </c>
      <c r="D92" s="11" t="s">
        <v>209</v>
      </c>
      <c r="E92" s="9" t="s">
        <v>12</v>
      </c>
      <c r="F92" s="12"/>
      <c r="G92" s="13"/>
    </row>
    <row r="93" customFormat="false" ht="15" hidden="false" customHeight="false" outlineLevel="0" collapsed="false">
      <c r="A93" s="4" t="n">
        <v>89</v>
      </c>
      <c r="B93" s="5" t="s">
        <v>203</v>
      </c>
      <c r="C93" s="4" t="s">
        <v>210</v>
      </c>
      <c r="D93" s="6" t="s">
        <v>211</v>
      </c>
      <c r="E93" s="4" t="s">
        <v>12</v>
      </c>
      <c r="F93" s="7"/>
      <c r="G93" s="8"/>
    </row>
    <row r="94" customFormat="false" ht="15" hidden="false" customHeight="false" outlineLevel="0" collapsed="false">
      <c r="A94" s="9" t="n">
        <v>90</v>
      </c>
      <c r="B94" s="10" t="s">
        <v>203</v>
      </c>
      <c r="C94" s="9" t="s">
        <v>212</v>
      </c>
      <c r="D94" s="11" t="s">
        <v>213</v>
      </c>
      <c r="E94" s="9" t="s">
        <v>12</v>
      </c>
      <c r="F94" s="12"/>
      <c r="G94" s="13"/>
    </row>
    <row r="95" customFormat="false" ht="23.85" hidden="false" customHeight="false" outlineLevel="0" collapsed="false">
      <c r="A95" s="4" t="n">
        <v>91</v>
      </c>
      <c r="B95" s="5" t="s">
        <v>203</v>
      </c>
      <c r="C95" s="4" t="s">
        <v>214</v>
      </c>
      <c r="D95" s="6" t="s">
        <v>215</v>
      </c>
      <c r="E95" s="4" t="s">
        <v>12</v>
      </c>
      <c r="F95" s="7"/>
      <c r="G95" s="8"/>
    </row>
    <row r="96" customFormat="false" ht="23.85" hidden="false" customHeight="false" outlineLevel="0" collapsed="false">
      <c r="A96" s="9" t="n">
        <v>92</v>
      </c>
      <c r="B96" s="10" t="s">
        <v>203</v>
      </c>
      <c r="C96" s="9" t="s">
        <v>216</v>
      </c>
      <c r="D96" s="11" t="s">
        <v>217</v>
      </c>
      <c r="E96" s="15" t="s">
        <v>56</v>
      </c>
      <c r="F96" s="12"/>
      <c r="G96" s="13" t="s">
        <v>218</v>
      </c>
    </row>
    <row r="97" customFormat="false" ht="15" hidden="false" customHeight="false" outlineLevel="0" collapsed="false">
      <c r="A97" s="4" t="n">
        <v>93</v>
      </c>
      <c r="B97" s="5" t="s">
        <v>219</v>
      </c>
      <c r="C97" s="4" t="s">
        <v>220</v>
      </c>
      <c r="D97" s="6" t="s">
        <v>221</v>
      </c>
      <c r="E97" s="4" t="s">
        <v>12</v>
      </c>
      <c r="F97" s="7"/>
      <c r="G97" s="8"/>
    </row>
    <row r="98" customFormat="false" ht="15" hidden="false" customHeight="false" outlineLevel="0" collapsed="false">
      <c r="A98" s="9" t="n">
        <v>94</v>
      </c>
      <c r="B98" s="10" t="s">
        <v>219</v>
      </c>
      <c r="C98" s="9" t="s">
        <v>222</v>
      </c>
      <c r="D98" s="11" t="s">
        <v>223</v>
      </c>
      <c r="E98" s="9" t="s">
        <v>12</v>
      </c>
      <c r="F98" s="12"/>
      <c r="G98" s="13"/>
    </row>
    <row r="99" customFormat="false" ht="23.85" hidden="false" customHeight="false" outlineLevel="0" collapsed="false">
      <c r="A99" s="4" t="n">
        <v>95</v>
      </c>
      <c r="B99" s="5" t="s">
        <v>219</v>
      </c>
      <c r="C99" s="4" t="s">
        <v>224</v>
      </c>
      <c r="D99" s="6" t="s">
        <v>225</v>
      </c>
      <c r="E99" s="4" t="s">
        <v>12</v>
      </c>
      <c r="F99" s="7"/>
      <c r="G99" s="8"/>
    </row>
    <row r="100" customFormat="false" ht="15" hidden="false" customHeight="false" outlineLevel="0" collapsed="false">
      <c r="A100" s="9" t="n">
        <v>96</v>
      </c>
      <c r="B100" s="10" t="s">
        <v>219</v>
      </c>
      <c r="C100" s="9" t="s">
        <v>226</v>
      </c>
      <c r="D100" s="11" t="s">
        <v>227</v>
      </c>
      <c r="E100" s="9" t="s">
        <v>12</v>
      </c>
      <c r="F100" s="12"/>
      <c r="G100" s="13"/>
    </row>
    <row r="101" customFormat="false" ht="23.85" hidden="false" customHeight="false" outlineLevel="0" collapsed="false">
      <c r="A101" s="4" t="n">
        <v>97</v>
      </c>
      <c r="B101" s="5" t="s">
        <v>219</v>
      </c>
      <c r="C101" s="4" t="s">
        <v>228</v>
      </c>
      <c r="D101" s="6" t="s">
        <v>229</v>
      </c>
      <c r="E101" s="4" t="s">
        <v>12</v>
      </c>
      <c r="F101" s="7"/>
      <c r="G101" s="8"/>
    </row>
    <row r="102" customFormat="false" ht="23.85" hidden="false" customHeight="false" outlineLevel="0" collapsed="false">
      <c r="A102" s="9" t="n">
        <v>98</v>
      </c>
      <c r="B102" s="10" t="s">
        <v>219</v>
      </c>
      <c r="C102" s="9" t="s">
        <v>230</v>
      </c>
      <c r="D102" s="11" t="s">
        <v>231</v>
      </c>
      <c r="E102" s="9" t="s">
        <v>12</v>
      </c>
      <c r="F102" s="12"/>
      <c r="G102" s="13"/>
    </row>
    <row r="103" customFormat="false" ht="15" hidden="false" customHeight="false" outlineLevel="0" collapsed="false">
      <c r="A103" s="4" t="n">
        <v>99</v>
      </c>
      <c r="B103" s="5" t="s">
        <v>219</v>
      </c>
      <c r="C103" s="4" t="s">
        <v>232</v>
      </c>
      <c r="D103" s="6" t="s">
        <v>233</v>
      </c>
      <c r="E103" s="4" t="s">
        <v>12</v>
      </c>
      <c r="F103" s="7"/>
      <c r="G103" s="8"/>
    </row>
    <row r="104" customFormat="false" ht="15" hidden="false" customHeight="false" outlineLevel="0" collapsed="false">
      <c r="A104" s="9" t="n">
        <v>100</v>
      </c>
      <c r="B104" s="10" t="s">
        <v>219</v>
      </c>
      <c r="C104" s="9" t="s">
        <v>234</v>
      </c>
      <c r="D104" s="11" t="s">
        <v>235</v>
      </c>
      <c r="E104" s="9" t="s">
        <v>12</v>
      </c>
      <c r="F104" s="12"/>
      <c r="G104" s="13"/>
    </row>
    <row r="105" customFormat="false" ht="23.85" hidden="false" customHeight="false" outlineLevel="0" collapsed="false">
      <c r="A105" s="4" t="n">
        <v>101</v>
      </c>
      <c r="B105" s="5" t="s">
        <v>219</v>
      </c>
      <c r="C105" s="4" t="s">
        <v>236</v>
      </c>
      <c r="D105" s="6" t="s">
        <v>237</v>
      </c>
      <c r="E105" s="4" t="s">
        <v>12</v>
      </c>
      <c r="F105" s="7"/>
      <c r="G105" s="8" t="s">
        <v>238</v>
      </c>
    </row>
    <row r="106" customFormat="false" ht="15" hidden="false" customHeight="false" outlineLevel="0" collapsed="false">
      <c r="A106" s="9" t="n">
        <v>102</v>
      </c>
      <c r="B106" s="10" t="s">
        <v>219</v>
      </c>
      <c r="C106" s="9" t="s">
        <v>239</v>
      </c>
      <c r="D106" s="11" t="s">
        <v>240</v>
      </c>
      <c r="E106" s="9" t="s">
        <v>12</v>
      </c>
      <c r="F106" s="12"/>
      <c r="G106" s="13"/>
    </row>
    <row r="107" customFormat="false" ht="15" hidden="false" customHeight="false" outlineLevel="0" collapsed="false">
      <c r="A107" s="4" t="n">
        <v>103</v>
      </c>
      <c r="B107" s="5" t="s">
        <v>219</v>
      </c>
      <c r="C107" s="4" t="s">
        <v>241</v>
      </c>
      <c r="D107" s="6" t="s">
        <v>242</v>
      </c>
      <c r="E107" s="4" t="s">
        <v>12</v>
      </c>
      <c r="F107" s="7"/>
      <c r="G107" s="8"/>
    </row>
    <row r="108" customFormat="false" ht="15" hidden="false" customHeight="false" outlineLevel="0" collapsed="false">
      <c r="A108" s="9" t="n">
        <v>104</v>
      </c>
      <c r="B108" s="10" t="s">
        <v>243</v>
      </c>
      <c r="C108" s="9" t="s">
        <v>244</v>
      </c>
      <c r="D108" s="11" t="s">
        <v>245</v>
      </c>
      <c r="E108" s="9" t="s">
        <v>12</v>
      </c>
      <c r="F108" s="12"/>
      <c r="G108" s="13" t="s">
        <v>246</v>
      </c>
    </row>
    <row r="109" customFormat="false" ht="15" hidden="false" customHeight="false" outlineLevel="0" collapsed="false">
      <c r="A109" s="4" t="n">
        <v>105</v>
      </c>
      <c r="B109" s="5" t="s">
        <v>243</v>
      </c>
      <c r="C109" s="4" t="s">
        <v>247</v>
      </c>
      <c r="D109" s="6" t="s">
        <v>248</v>
      </c>
      <c r="E109" s="4" t="s">
        <v>12</v>
      </c>
      <c r="F109" s="7"/>
      <c r="G109" s="8"/>
    </row>
    <row r="110" customFormat="false" ht="15" hidden="false" customHeight="false" outlineLevel="0" collapsed="false">
      <c r="A110" s="9" t="n">
        <v>106</v>
      </c>
      <c r="B110" s="10" t="s">
        <v>243</v>
      </c>
      <c r="C110" s="9" t="s">
        <v>249</v>
      </c>
      <c r="D110" s="11" t="s">
        <v>250</v>
      </c>
      <c r="E110" s="9" t="s">
        <v>12</v>
      </c>
      <c r="F110" s="12"/>
      <c r="G110" s="13"/>
    </row>
    <row r="111" customFormat="false" ht="15" hidden="false" customHeight="false" outlineLevel="0" collapsed="false">
      <c r="A111" s="4" t="n">
        <v>107</v>
      </c>
      <c r="B111" s="5" t="s">
        <v>243</v>
      </c>
      <c r="C111" s="4" t="s">
        <v>251</v>
      </c>
      <c r="D111" s="6" t="s">
        <v>252</v>
      </c>
      <c r="E111" s="4" t="s">
        <v>12</v>
      </c>
      <c r="F111" s="7"/>
      <c r="G111" s="8"/>
    </row>
    <row r="112" customFormat="false" ht="15" hidden="false" customHeight="false" outlineLevel="0" collapsed="false">
      <c r="A112" s="9" t="n">
        <v>108</v>
      </c>
      <c r="B112" s="10" t="s">
        <v>243</v>
      </c>
      <c r="C112" s="9" t="s">
        <v>253</v>
      </c>
      <c r="D112" s="11" t="s">
        <v>254</v>
      </c>
      <c r="E112" s="9" t="s">
        <v>12</v>
      </c>
      <c r="F112" s="12"/>
      <c r="G112" s="13"/>
    </row>
    <row r="113" customFormat="false" ht="15" hidden="false" customHeight="false" outlineLevel="0" collapsed="false">
      <c r="A113" s="4" t="n">
        <v>109</v>
      </c>
      <c r="B113" s="5" t="s">
        <v>243</v>
      </c>
      <c r="C113" s="4" t="s">
        <v>255</v>
      </c>
      <c r="D113" s="6" t="s">
        <v>256</v>
      </c>
      <c r="E113" s="4" t="s">
        <v>12</v>
      </c>
      <c r="F113" s="7"/>
      <c r="G113" s="8"/>
    </row>
    <row r="114" customFormat="false" ht="15" hidden="false" customHeight="false" outlineLevel="0" collapsed="false">
      <c r="A114" s="9" t="n">
        <v>110</v>
      </c>
      <c r="B114" s="10" t="s">
        <v>243</v>
      </c>
      <c r="C114" s="9" t="s">
        <v>257</v>
      </c>
      <c r="D114" s="11" t="s">
        <v>258</v>
      </c>
      <c r="E114" s="9" t="s">
        <v>12</v>
      </c>
      <c r="F114" s="12"/>
      <c r="G114" s="13"/>
    </row>
    <row r="115" customFormat="false" ht="23.85" hidden="false" customHeight="false" outlineLevel="0" collapsed="false">
      <c r="A115" s="4" t="n">
        <v>111</v>
      </c>
      <c r="B115" s="5" t="s">
        <v>243</v>
      </c>
      <c r="C115" s="4" t="s">
        <v>259</v>
      </c>
      <c r="D115" s="6" t="s">
        <v>260</v>
      </c>
      <c r="E115" s="4" t="s">
        <v>12</v>
      </c>
      <c r="F115" s="7"/>
      <c r="G115" s="8" t="s">
        <v>261</v>
      </c>
    </row>
    <row r="116" customFormat="false" ht="15" hidden="false" customHeight="false" outlineLevel="0" collapsed="false">
      <c r="A116" s="9" t="n">
        <v>112</v>
      </c>
      <c r="B116" s="10" t="s">
        <v>243</v>
      </c>
      <c r="C116" s="9" t="s">
        <v>262</v>
      </c>
      <c r="D116" s="11" t="s">
        <v>263</v>
      </c>
      <c r="E116" s="9" t="s">
        <v>12</v>
      </c>
      <c r="F116" s="12"/>
      <c r="G116" s="13" t="s">
        <v>264</v>
      </c>
    </row>
    <row r="117" customFormat="false" ht="15" hidden="false" customHeight="false" outlineLevel="0" collapsed="false">
      <c r="A117" s="4" t="n">
        <v>113</v>
      </c>
      <c r="B117" s="5" t="s">
        <v>243</v>
      </c>
      <c r="C117" s="4" t="s">
        <v>265</v>
      </c>
      <c r="D117" s="6" t="s">
        <v>266</v>
      </c>
      <c r="E117" s="4" t="s">
        <v>12</v>
      </c>
      <c r="F117" s="7"/>
      <c r="G117" s="8" t="s">
        <v>267</v>
      </c>
    </row>
    <row r="118" customFormat="false" ht="15" hidden="false" customHeight="false" outlineLevel="0" collapsed="false">
      <c r="A118" s="9" t="n">
        <v>114</v>
      </c>
      <c r="B118" s="10" t="s">
        <v>243</v>
      </c>
      <c r="C118" s="9" t="s">
        <v>268</v>
      </c>
      <c r="D118" s="11" t="s">
        <v>269</v>
      </c>
      <c r="E118" s="9" t="s">
        <v>12</v>
      </c>
      <c r="F118" s="12"/>
      <c r="G118" s="13" t="s">
        <v>270</v>
      </c>
    </row>
    <row r="119" customFormat="false" ht="15" hidden="false" customHeight="false" outlineLevel="0" collapsed="false">
      <c r="A119" s="4" t="n">
        <v>115</v>
      </c>
      <c r="B119" s="5" t="s">
        <v>271</v>
      </c>
      <c r="C119" s="4" t="s">
        <v>272</v>
      </c>
      <c r="D119" s="6" t="s">
        <v>273</v>
      </c>
      <c r="E119" s="4" t="s">
        <v>12</v>
      </c>
      <c r="F119" s="7"/>
      <c r="G119" s="8"/>
    </row>
    <row r="120" customFormat="false" ht="15" hidden="false" customHeight="false" outlineLevel="0" collapsed="false">
      <c r="A120" s="9" t="n">
        <v>116</v>
      </c>
      <c r="B120" s="10" t="s">
        <v>271</v>
      </c>
      <c r="C120" s="9" t="s">
        <v>274</v>
      </c>
      <c r="D120" s="11" t="s">
        <v>275</v>
      </c>
      <c r="E120" s="9" t="s">
        <v>12</v>
      </c>
      <c r="F120" s="12"/>
      <c r="G120" s="13"/>
    </row>
    <row r="121" customFormat="false" ht="15" hidden="false" customHeight="false" outlineLevel="0" collapsed="false">
      <c r="A121" s="4" t="n">
        <v>117</v>
      </c>
      <c r="B121" s="5" t="s">
        <v>271</v>
      </c>
      <c r="C121" s="4" t="s">
        <v>276</v>
      </c>
      <c r="D121" s="6" t="s">
        <v>277</v>
      </c>
      <c r="E121" s="4" t="s">
        <v>12</v>
      </c>
      <c r="F121" s="7"/>
      <c r="G121" s="8"/>
    </row>
    <row r="122" customFormat="false" ht="15" hidden="false" customHeight="false" outlineLevel="0" collapsed="false">
      <c r="A122" s="9" t="n">
        <v>118</v>
      </c>
      <c r="B122" s="10" t="s">
        <v>271</v>
      </c>
      <c r="C122" s="9" t="s">
        <v>278</v>
      </c>
      <c r="D122" s="11" t="s">
        <v>279</v>
      </c>
      <c r="E122" s="9" t="s">
        <v>12</v>
      </c>
      <c r="F122" s="12"/>
      <c r="G122" s="13"/>
    </row>
    <row r="123" customFormat="false" ht="15" hidden="false" customHeight="false" outlineLevel="0" collapsed="false">
      <c r="A123" s="4" t="n">
        <v>119</v>
      </c>
      <c r="B123" s="5" t="s">
        <v>271</v>
      </c>
      <c r="C123" s="4" t="s">
        <v>280</v>
      </c>
      <c r="D123" s="6" t="s">
        <v>281</v>
      </c>
      <c r="E123" s="4" t="s">
        <v>12</v>
      </c>
      <c r="F123" s="7"/>
      <c r="G123" s="8"/>
    </row>
    <row r="124" customFormat="false" ht="23.85" hidden="false" customHeight="false" outlineLevel="0" collapsed="false">
      <c r="A124" s="9" t="n">
        <v>120</v>
      </c>
      <c r="B124" s="10" t="s">
        <v>271</v>
      </c>
      <c r="C124" s="9" t="s">
        <v>282</v>
      </c>
      <c r="D124" s="11" t="s">
        <v>283</v>
      </c>
      <c r="E124" s="9" t="s">
        <v>12</v>
      </c>
      <c r="F124" s="12"/>
      <c r="G124" s="13"/>
    </row>
    <row r="125" customFormat="false" ht="23.85" hidden="false" customHeight="false" outlineLevel="0" collapsed="false">
      <c r="A125" s="4" t="n">
        <v>121</v>
      </c>
      <c r="B125" s="5" t="s">
        <v>284</v>
      </c>
      <c r="C125" s="4" t="s">
        <v>285</v>
      </c>
      <c r="D125" s="6" t="s">
        <v>286</v>
      </c>
      <c r="E125" s="4" t="s">
        <v>12</v>
      </c>
      <c r="F125" s="7"/>
      <c r="G125" s="8" t="s">
        <v>287</v>
      </c>
    </row>
    <row r="126" customFormat="false" ht="23.85" hidden="false" customHeight="false" outlineLevel="0" collapsed="false">
      <c r="A126" s="9" t="n">
        <v>122</v>
      </c>
      <c r="B126" s="10" t="s">
        <v>284</v>
      </c>
      <c r="C126" s="9" t="s">
        <v>288</v>
      </c>
      <c r="D126" s="11" t="s">
        <v>289</v>
      </c>
      <c r="E126" s="9" t="s">
        <v>12</v>
      </c>
      <c r="F126" s="12"/>
      <c r="G126" s="13" t="s">
        <v>290</v>
      </c>
    </row>
    <row r="127" customFormat="false" ht="15" hidden="false" customHeight="false" outlineLevel="0" collapsed="false">
      <c r="A127" s="4" t="n">
        <v>123</v>
      </c>
      <c r="B127" s="5" t="s">
        <v>284</v>
      </c>
      <c r="C127" s="4" t="s">
        <v>291</v>
      </c>
      <c r="D127" s="6" t="s">
        <v>292</v>
      </c>
      <c r="E127" s="4" t="s">
        <v>12</v>
      </c>
      <c r="F127" s="7"/>
      <c r="G127" s="8"/>
    </row>
    <row r="128" customFormat="false" ht="15" hidden="false" customHeight="false" outlineLevel="0" collapsed="false">
      <c r="A128" s="9" t="n">
        <v>124</v>
      </c>
      <c r="B128" s="10" t="s">
        <v>284</v>
      </c>
      <c r="C128" s="9" t="s">
        <v>293</v>
      </c>
      <c r="D128" s="11" t="s">
        <v>294</v>
      </c>
      <c r="E128" s="9" t="s">
        <v>12</v>
      </c>
      <c r="F128" s="12"/>
      <c r="G128" s="13"/>
    </row>
    <row r="129" customFormat="false" ht="15" hidden="false" customHeight="false" outlineLevel="0" collapsed="false">
      <c r="A129" s="4" t="n">
        <v>125</v>
      </c>
      <c r="B129" s="5" t="s">
        <v>284</v>
      </c>
      <c r="C129" s="4" t="s">
        <v>295</v>
      </c>
      <c r="D129" s="6" t="s">
        <v>296</v>
      </c>
      <c r="E129" s="4" t="s">
        <v>12</v>
      </c>
      <c r="F129" s="7"/>
      <c r="G129" s="8"/>
    </row>
    <row r="130" customFormat="false" ht="15" hidden="false" customHeight="false" outlineLevel="0" collapsed="false">
      <c r="A130" s="9" t="n">
        <v>126</v>
      </c>
      <c r="B130" s="10" t="s">
        <v>284</v>
      </c>
      <c r="C130" s="9" t="s">
        <v>297</v>
      </c>
      <c r="D130" s="11" t="s">
        <v>298</v>
      </c>
      <c r="E130" s="9" t="s">
        <v>12</v>
      </c>
      <c r="F130" s="12"/>
      <c r="G130" s="13"/>
    </row>
    <row r="131" customFormat="false" ht="15" hidden="false" customHeight="false" outlineLevel="0" collapsed="false">
      <c r="A131" s="4" t="n">
        <v>127</v>
      </c>
      <c r="B131" s="5" t="s">
        <v>284</v>
      </c>
      <c r="C131" s="4" t="s">
        <v>299</v>
      </c>
      <c r="D131" s="6" t="s">
        <v>300</v>
      </c>
      <c r="E131" s="4" t="s">
        <v>12</v>
      </c>
      <c r="F131" s="7"/>
      <c r="G131" s="8"/>
    </row>
    <row r="132" customFormat="false" ht="23.85" hidden="false" customHeight="false" outlineLevel="0" collapsed="false">
      <c r="A132" s="9" t="n">
        <v>128</v>
      </c>
      <c r="B132" s="10" t="s">
        <v>284</v>
      </c>
      <c r="C132" s="9" t="s">
        <v>301</v>
      </c>
      <c r="D132" s="11" t="s">
        <v>302</v>
      </c>
      <c r="E132" s="15" t="s">
        <v>56</v>
      </c>
      <c r="F132" s="12"/>
      <c r="G132" s="13" t="s">
        <v>303</v>
      </c>
    </row>
    <row r="133" customFormat="false" ht="23.85" hidden="false" customHeight="false" outlineLevel="0" collapsed="false">
      <c r="A133" s="4" t="n">
        <v>129</v>
      </c>
      <c r="B133" s="5" t="s">
        <v>284</v>
      </c>
      <c r="C133" s="4" t="s">
        <v>304</v>
      </c>
      <c r="D133" s="6" t="s">
        <v>305</v>
      </c>
      <c r="E133" s="4" t="s">
        <v>12</v>
      </c>
      <c r="F133" s="7"/>
      <c r="G133" s="8"/>
    </row>
    <row r="134" customFormat="false" ht="23.85" hidden="false" customHeight="false" outlineLevel="0" collapsed="false">
      <c r="A134" s="9" t="n">
        <v>130</v>
      </c>
      <c r="B134" s="10" t="s">
        <v>284</v>
      </c>
      <c r="C134" s="9" t="s">
        <v>306</v>
      </c>
      <c r="D134" s="11" t="s">
        <v>307</v>
      </c>
      <c r="E134" s="9" t="s">
        <v>12</v>
      </c>
      <c r="F134" s="12"/>
      <c r="G134" s="13"/>
    </row>
    <row r="135" customFormat="false" ht="23.85" hidden="false" customHeight="false" outlineLevel="0" collapsed="false">
      <c r="A135" s="4" t="n">
        <v>131</v>
      </c>
      <c r="B135" s="5" t="s">
        <v>284</v>
      </c>
      <c r="C135" s="4" t="s">
        <v>308</v>
      </c>
      <c r="D135" s="6" t="s">
        <v>309</v>
      </c>
      <c r="E135" s="4" t="s">
        <v>12</v>
      </c>
      <c r="F135" s="7"/>
      <c r="G135" s="8"/>
    </row>
    <row r="136" customFormat="false" ht="15" hidden="false" customHeight="false" outlineLevel="0" collapsed="false">
      <c r="A136" s="9" t="n">
        <v>132</v>
      </c>
      <c r="B136" s="10" t="s">
        <v>284</v>
      </c>
      <c r="C136" s="9" t="s">
        <v>310</v>
      </c>
      <c r="D136" s="11" t="s">
        <v>311</v>
      </c>
      <c r="E136" s="9" t="s">
        <v>12</v>
      </c>
      <c r="F136" s="12"/>
      <c r="G136" s="13"/>
    </row>
    <row r="137" customFormat="false" ht="15" hidden="false" customHeight="false" outlineLevel="0" collapsed="false">
      <c r="A137" s="4" t="n">
        <v>133</v>
      </c>
      <c r="B137" s="5" t="s">
        <v>284</v>
      </c>
      <c r="C137" s="4" t="s">
        <v>312</v>
      </c>
      <c r="D137" s="6" t="s">
        <v>313</v>
      </c>
      <c r="E137" s="4" t="s">
        <v>12</v>
      </c>
      <c r="F137" s="7"/>
      <c r="G137" s="8" t="s">
        <v>264</v>
      </c>
    </row>
    <row r="138" customFormat="false" ht="23.85" hidden="false" customHeight="false" outlineLevel="0" collapsed="false">
      <c r="A138" s="9" t="n">
        <v>134</v>
      </c>
      <c r="B138" s="10" t="s">
        <v>284</v>
      </c>
      <c r="C138" s="9" t="s">
        <v>314</v>
      </c>
      <c r="D138" s="11" t="s">
        <v>315</v>
      </c>
      <c r="E138" s="9" t="s">
        <v>12</v>
      </c>
      <c r="F138" s="12"/>
      <c r="G138" s="13" t="s">
        <v>316</v>
      </c>
    </row>
    <row r="139" customFormat="false" ht="23.85" hidden="false" customHeight="false" outlineLevel="0" collapsed="false">
      <c r="A139" s="4" t="n">
        <v>135</v>
      </c>
      <c r="B139" s="5" t="s">
        <v>317</v>
      </c>
      <c r="C139" s="4" t="s">
        <v>318</v>
      </c>
      <c r="D139" s="6" t="s">
        <v>319</v>
      </c>
      <c r="E139" s="4" t="s">
        <v>12</v>
      </c>
      <c r="F139" s="7"/>
      <c r="G139" s="8" t="s">
        <v>320</v>
      </c>
    </row>
    <row r="140" customFormat="false" ht="15" hidden="false" customHeight="false" outlineLevel="0" collapsed="false">
      <c r="A140" s="9" t="n">
        <v>136</v>
      </c>
      <c r="B140" s="10" t="s">
        <v>317</v>
      </c>
      <c r="C140" s="9" t="s">
        <v>321</v>
      </c>
      <c r="D140" s="11" t="s">
        <v>322</v>
      </c>
      <c r="E140" s="9" t="s">
        <v>12</v>
      </c>
      <c r="F140" s="12"/>
      <c r="G140" s="13"/>
    </row>
    <row r="141" customFormat="false" ht="15" hidden="false" customHeight="false" outlineLevel="0" collapsed="false">
      <c r="A141" s="4" t="n">
        <v>137</v>
      </c>
      <c r="B141" s="5" t="s">
        <v>317</v>
      </c>
      <c r="C141" s="4" t="s">
        <v>323</v>
      </c>
      <c r="D141" s="6" t="s">
        <v>324</v>
      </c>
      <c r="E141" s="4" t="s">
        <v>12</v>
      </c>
      <c r="F141" s="7"/>
      <c r="G141" s="8"/>
    </row>
    <row r="142" customFormat="false" ht="15" hidden="false" customHeight="false" outlineLevel="0" collapsed="false">
      <c r="A142" s="9" t="n">
        <v>138</v>
      </c>
      <c r="B142" s="10" t="s">
        <v>317</v>
      </c>
      <c r="C142" s="9" t="s">
        <v>325</v>
      </c>
      <c r="D142" s="11" t="s">
        <v>326</v>
      </c>
      <c r="E142" s="9" t="s">
        <v>12</v>
      </c>
      <c r="F142" s="12"/>
      <c r="G142" s="13"/>
    </row>
    <row r="143" customFormat="false" ht="15" hidden="false" customHeight="false" outlineLevel="0" collapsed="false">
      <c r="A143" s="4" t="n">
        <v>139</v>
      </c>
      <c r="B143" s="5" t="s">
        <v>317</v>
      </c>
      <c r="C143" s="4" t="s">
        <v>327</v>
      </c>
      <c r="D143" s="6" t="s">
        <v>328</v>
      </c>
      <c r="E143" s="4" t="s">
        <v>12</v>
      </c>
      <c r="F143" s="7"/>
      <c r="G143" s="8"/>
    </row>
    <row r="144" customFormat="false" ht="15" hidden="false" customHeight="false" outlineLevel="0" collapsed="false">
      <c r="A144" s="9" t="n">
        <v>140</v>
      </c>
      <c r="B144" s="10" t="s">
        <v>317</v>
      </c>
      <c r="C144" s="9" t="s">
        <v>329</v>
      </c>
      <c r="D144" s="11" t="s">
        <v>330</v>
      </c>
      <c r="E144" s="9" t="s">
        <v>12</v>
      </c>
      <c r="F144" s="12"/>
      <c r="G144" s="13"/>
    </row>
    <row r="145" customFormat="false" ht="15" hidden="false" customHeight="false" outlineLevel="0" collapsed="false">
      <c r="A145" s="4" t="n">
        <v>141</v>
      </c>
      <c r="B145" s="5" t="s">
        <v>317</v>
      </c>
      <c r="C145" s="4" t="s">
        <v>331</v>
      </c>
      <c r="D145" s="6" t="s">
        <v>332</v>
      </c>
      <c r="E145" s="4" t="s">
        <v>12</v>
      </c>
      <c r="F145" s="7"/>
      <c r="G145" s="8"/>
    </row>
    <row r="146" customFormat="false" ht="15" hidden="false" customHeight="false" outlineLevel="0" collapsed="false">
      <c r="A146" s="9" t="n">
        <v>142</v>
      </c>
      <c r="B146" s="10" t="s">
        <v>317</v>
      </c>
      <c r="C146" s="9" t="s">
        <v>333</v>
      </c>
      <c r="D146" s="11" t="s">
        <v>334</v>
      </c>
      <c r="E146" s="9" t="s">
        <v>12</v>
      </c>
      <c r="F146" s="12"/>
      <c r="G146" s="13"/>
    </row>
    <row r="147" customFormat="false" ht="15" hidden="false" customHeight="false" outlineLevel="0" collapsed="false">
      <c r="A147" s="4" t="n">
        <v>143</v>
      </c>
      <c r="B147" s="5" t="s">
        <v>317</v>
      </c>
      <c r="C147" s="4" t="s">
        <v>335</v>
      </c>
      <c r="D147" s="6" t="s">
        <v>336</v>
      </c>
      <c r="E147" s="4" t="s">
        <v>12</v>
      </c>
      <c r="F147" s="7"/>
      <c r="G147" s="8" t="s">
        <v>337</v>
      </c>
    </row>
    <row r="148" customFormat="false" ht="15" hidden="false" customHeight="false" outlineLevel="0" collapsed="false">
      <c r="A148" s="9" t="n">
        <v>144</v>
      </c>
      <c r="B148" s="10" t="s">
        <v>317</v>
      </c>
      <c r="C148" s="9" t="s">
        <v>338</v>
      </c>
      <c r="D148" s="11" t="s">
        <v>339</v>
      </c>
      <c r="E148" s="9" t="s">
        <v>12</v>
      </c>
      <c r="F148" s="12"/>
      <c r="G148" s="13"/>
    </row>
    <row r="149" customFormat="false" ht="23.85" hidden="false" customHeight="false" outlineLevel="0" collapsed="false">
      <c r="A149" s="4" t="n">
        <v>145</v>
      </c>
      <c r="B149" s="5" t="s">
        <v>317</v>
      </c>
      <c r="C149" s="4" t="s">
        <v>340</v>
      </c>
      <c r="D149" s="6" t="s">
        <v>341</v>
      </c>
      <c r="E149" s="4" t="s">
        <v>12</v>
      </c>
      <c r="F149" s="7"/>
      <c r="G149" s="8" t="s">
        <v>342</v>
      </c>
    </row>
    <row r="150" customFormat="false" ht="15" hidden="false" customHeight="false" outlineLevel="0" collapsed="false">
      <c r="A150" s="9" t="n">
        <v>146</v>
      </c>
      <c r="B150" s="10" t="s">
        <v>317</v>
      </c>
      <c r="C150" s="9" t="s">
        <v>343</v>
      </c>
      <c r="D150" s="11" t="s">
        <v>344</v>
      </c>
      <c r="E150" s="9" t="s">
        <v>12</v>
      </c>
      <c r="F150" s="12"/>
      <c r="G150" s="13"/>
    </row>
    <row r="151" customFormat="false" ht="15" hidden="false" customHeight="false" outlineLevel="0" collapsed="false">
      <c r="A151" s="4" t="n">
        <v>147</v>
      </c>
      <c r="B151" s="5" t="s">
        <v>345</v>
      </c>
      <c r="C151" s="4" t="s">
        <v>346</v>
      </c>
      <c r="D151" s="6" t="s">
        <v>347</v>
      </c>
      <c r="E151" s="4" t="s">
        <v>12</v>
      </c>
      <c r="F151" s="7"/>
      <c r="G151" s="8"/>
    </row>
    <row r="152" customFormat="false" ht="15" hidden="false" customHeight="false" outlineLevel="0" collapsed="false">
      <c r="A152" s="9" t="n">
        <v>148</v>
      </c>
      <c r="B152" s="10" t="s">
        <v>345</v>
      </c>
      <c r="C152" s="9" t="s">
        <v>348</v>
      </c>
      <c r="D152" s="11" t="s">
        <v>349</v>
      </c>
      <c r="E152" s="9" t="s">
        <v>12</v>
      </c>
      <c r="F152" s="12"/>
      <c r="G152" s="13"/>
    </row>
    <row r="153" customFormat="false" ht="15" hidden="false" customHeight="false" outlineLevel="0" collapsed="false">
      <c r="A153" s="4" t="n">
        <v>149</v>
      </c>
      <c r="B153" s="5" t="s">
        <v>345</v>
      </c>
      <c r="C153" s="4" t="s">
        <v>350</v>
      </c>
      <c r="D153" s="6" t="s">
        <v>351</v>
      </c>
      <c r="E153" s="4" t="s">
        <v>12</v>
      </c>
      <c r="F153" s="7"/>
      <c r="G153" s="8"/>
    </row>
    <row r="154" customFormat="false" ht="15" hidden="false" customHeight="false" outlineLevel="0" collapsed="false">
      <c r="A154" s="9" t="n">
        <v>150</v>
      </c>
      <c r="B154" s="10" t="s">
        <v>345</v>
      </c>
      <c r="C154" s="9" t="s">
        <v>352</v>
      </c>
      <c r="D154" s="11" t="s">
        <v>353</v>
      </c>
      <c r="E154" s="9" t="s">
        <v>12</v>
      </c>
      <c r="F154" s="12"/>
      <c r="G154" s="13"/>
    </row>
    <row r="155" customFormat="false" ht="23.85" hidden="false" customHeight="false" outlineLevel="0" collapsed="false">
      <c r="A155" s="4" t="n">
        <v>151</v>
      </c>
      <c r="B155" s="5" t="s">
        <v>345</v>
      </c>
      <c r="C155" s="4" t="s">
        <v>354</v>
      </c>
      <c r="D155" s="6" t="s">
        <v>355</v>
      </c>
      <c r="E155" s="4" t="s">
        <v>12</v>
      </c>
      <c r="F155" s="7"/>
      <c r="G155" s="8"/>
    </row>
    <row r="156" customFormat="false" ht="15" hidden="false" customHeight="false" outlineLevel="0" collapsed="false">
      <c r="A156" s="9" t="n">
        <v>152</v>
      </c>
      <c r="B156" s="10" t="s">
        <v>345</v>
      </c>
      <c r="C156" s="9" t="s">
        <v>356</v>
      </c>
      <c r="D156" s="11" t="s">
        <v>357</v>
      </c>
      <c r="E156" s="9" t="s">
        <v>12</v>
      </c>
      <c r="F156" s="12"/>
      <c r="G156" s="13"/>
    </row>
    <row r="157" customFormat="false" ht="15" hidden="false" customHeight="false" outlineLevel="0" collapsed="false">
      <c r="A157" s="4" t="n">
        <v>153</v>
      </c>
      <c r="B157" s="5" t="s">
        <v>345</v>
      </c>
      <c r="C157" s="4" t="s">
        <v>358</v>
      </c>
      <c r="D157" s="6" t="s">
        <v>359</v>
      </c>
      <c r="E157" s="4" t="s">
        <v>12</v>
      </c>
      <c r="F157" s="7"/>
      <c r="G157" s="8"/>
    </row>
    <row r="158" customFormat="false" ht="15" hidden="false" customHeight="false" outlineLevel="0" collapsed="false">
      <c r="A158" s="9" t="n">
        <v>154</v>
      </c>
      <c r="B158" s="10" t="s">
        <v>345</v>
      </c>
      <c r="C158" s="9" t="s">
        <v>360</v>
      </c>
      <c r="D158" s="11" t="s">
        <v>361</v>
      </c>
      <c r="E158" s="9" t="s">
        <v>12</v>
      </c>
      <c r="F158" s="12"/>
      <c r="G158" s="13" t="s">
        <v>362</v>
      </c>
    </row>
    <row r="159" customFormat="false" ht="23.85" hidden="false" customHeight="false" outlineLevel="0" collapsed="false">
      <c r="A159" s="4" t="n">
        <v>155</v>
      </c>
      <c r="B159" s="5" t="s">
        <v>345</v>
      </c>
      <c r="C159" s="4" t="s">
        <v>363</v>
      </c>
      <c r="D159" s="6" t="s">
        <v>364</v>
      </c>
      <c r="E159" s="4" t="s">
        <v>12</v>
      </c>
      <c r="F159" s="7"/>
      <c r="G159" s="8" t="s">
        <v>365</v>
      </c>
    </row>
    <row r="160" customFormat="false" ht="15" hidden="false" customHeight="false" outlineLevel="0" collapsed="false">
      <c r="A160" s="9" t="n">
        <v>156</v>
      </c>
      <c r="B160" s="10" t="s">
        <v>345</v>
      </c>
      <c r="C160" s="9" t="s">
        <v>366</v>
      </c>
      <c r="D160" s="11" t="s">
        <v>367</v>
      </c>
      <c r="E160" s="9" t="s">
        <v>12</v>
      </c>
      <c r="F160" s="12"/>
      <c r="G160" s="13"/>
    </row>
    <row r="161" customFormat="false" ht="15" hidden="false" customHeight="false" outlineLevel="0" collapsed="false">
      <c r="A161" s="4" t="n">
        <v>157</v>
      </c>
      <c r="B161" s="5" t="s">
        <v>345</v>
      </c>
      <c r="C161" s="4" t="s">
        <v>368</v>
      </c>
      <c r="D161" s="6" t="s">
        <v>369</v>
      </c>
      <c r="E161" s="4" t="s">
        <v>12</v>
      </c>
      <c r="F161" s="7"/>
      <c r="G161" s="8"/>
    </row>
    <row r="162" customFormat="false" ht="15" hidden="false" customHeight="false" outlineLevel="0" collapsed="false">
      <c r="A162" s="9" t="n">
        <v>158</v>
      </c>
      <c r="B162" s="10" t="s">
        <v>370</v>
      </c>
      <c r="C162" s="9" t="s">
        <v>371</v>
      </c>
      <c r="D162" s="11" t="s">
        <v>372</v>
      </c>
      <c r="E162" s="9" t="s">
        <v>12</v>
      </c>
      <c r="F162" s="12"/>
      <c r="G162" s="13"/>
    </row>
    <row r="163" customFormat="false" ht="15" hidden="false" customHeight="false" outlineLevel="0" collapsed="false">
      <c r="A163" s="4" t="n">
        <v>159</v>
      </c>
      <c r="B163" s="5" t="s">
        <v>370</v>
      </c>
      <c r="C163" s="4" t="s">
        <v>373</v>
      </c>
      <c r="D163" s="6" t="s">
        <v>374</v>
      </c>
      <c r="E163" s="4" t="s">
        <v>12</v>
      </c>
      <c r="F163" s="7"/>
      <c r="G163" s="8"/>
    </row>
    <row r="164" customFormat="false" ht="15" hidden="false" customHeight="false" outlineLevel="0" collapsed="false">
      <c r="A164" s="9" t="n">
        <v>160</v>
      </c>
      <c r="B164" s="10" t="s">
        <v>370</v>
      </c>
      <c r="C164" s="9" t="s">
        <v>375</v>
      </c>
      <c r="D164" s="11" t="s">
        <v>376</v>
      </c>
      <c r="E164" s="9" t="s">
        <v>12</v>
      </c>
      <c r="F164" s="12"/>
      <c r="G164" s="13"/>
    </row>
    <row r="165" customFormat="false" ht="15" hidden="false" customHeight="false" outlineLevel="0" collapsed="false">
      <c r="A165" s="4" t="n">
        <v>161</v>
      </c>
      <c r="B165" s="5" t="s">
        <v>370</v>
      </c>
      <c r="C165" s="4" t="s">
        <v>377</v>
      </c>
      <c r="D165" s="6" t="s">
        <v>378</v>
      </c>
      <c r="E165" s="4" t="s">
        <v>12</v>
      </c>
      <c r="F165" s="7"/>
      <c r="G165" s="8"/>
    </row>
    <row r="166" customFormat="false" ht="15" hidden="false" customHeight="false" outlineLevel="0" collapsed="false">
      <c r="A166" s="9" t="n">
        <v>162</v>
      </c>
      <c r="B166" s="10" t="s">
        <v>370</v>
      </c>
      <c r="C166" s="9" t="s">
        <v>379</v>
      </c>
      <c r="D166" s="11" t="s">
        <v>380</v>
      </c>
      <c r="E166" s="9" t="s">
        <v>12</v>
      </c>
      <c r="F166" s="12"/>
      <c r="G166" s="13"/>
    </row>
    <row r="167" customFormat="false" ht="15" hidden="false" customHeight="false" outlineLevel="0" collapsed="false">
      <c r="A167" s="4" t="n">
        <v>163</v>
      </c>
      <c r="B167" s="5" t="s">
        <v>370</v>
      </c>
      <c r="C167" s="4" t="s">
        <v>381</v>
      </c>
      <c r="D167" s="6" t="s">
        <v>382</v>
      </c>
      <c r="E167" s="4" t="s">
        <v>12</v>
      </c>
      <c r="F167" s="7"/>
      <c r="G167" s="8" t="s">
        <v>383</v>
      </c>
    </row>
    <row r="168" customFormat="false" ht="15" hidden="false" customHeight="false" outlineLevel="0" collapsed="false">
      <c r="A168" s="9" t="n">
        <v>164</v>
      </c>
      <c r="B168" s="10" t="s">
        <v>384</v>
      </c>
      <c r="C168" s="9" t="s">
        <v>385</v>
      </c>
      <c r="D168" s="11" t="s">
        <v>386</v>
      </c>
      <c r="E168" s="9" t="s">
        <v>12</v>
      </c>
      <c r="F168" s="12"/>
      <c r="G168" s="13"/>
    </row>
    <row r="169" customFormat="false" ht="15" hidden="false" customHeight="false" outlineLevel="0" collapsed="false">
      <c r="A169" s="4" t="n">
        <v>165</v>
      </c>
      <c r="B169" s="5" t="s">
        <v>384</v>
      </c>
      <c r="C169" s="4" t="s">
        <v>387</v>
      </c>
      <c r="D169" s="6" t="s">
        <v>388</v>
      </c>
      <c r="E169" s="4" t="s">
        <v>12</v>
      </c>
      <c r="F169" s="7"/>
      <c r="G169" s="8" t="s">
        <v>389</v>
      </c>
    </row>
    <row r="170" customFormat="false" ht="23.85" hidden="false" customHeight="false" outlineLevel="0" collapsed="false">
      <c r="A170" s="9" t="n">
        <v>166</v>
      </c>
      <c r="B170" s="10" t="s">
        <v>384</v>
      </c>
      <c r="C170" s="9" t="s">
        <v>390</v>
      </c>
      <c r="D170" s="11" t="s">
        <v>391</v>
      </c>
      <c r="E170" s="9" t="s">
        <v>12</v>
      </c>
      <c r="F170" s="12"/>
      <c r="G170" s="13"/>
    </row>
    <row r="171" customFormat="false" ht="15" hidden="false" customHeight="false" outlineLevel="0" collapsed="false">
      <c r="A171" s="4" t="n">
        <v>167</v>
      </c>
      <c r="B171" s="5" t="s">
        <v>384</v>
      </c>
      <c r="C171" s="4" t="s">
        <v>392</v>
      </c>
      <c r="D171" s="6" t="s">
        <v>393</v>
      </c>
      <c r="E171" s="4" t="s">
        <v>12</v>
      </c>
      <c r="F171" s="7"/>
      <c r="G171" s="8"/>
    </row>
    <row r="172" customFormat="false" ht="15" hidden="false" customHeight="false" outlineLevel="0" collapsed="false">
      <c r="A172" s="9" t="n">
        <v>168</v>
      </c>
      <c r="B172" s="10" t="s">
        <v>394</v>
      </c>
      <c r="C172" s="9" t="s">
        <v>395</v>
      </c>
      <c r="D172" s="11" t="s">
        <v>396</v>
      </c>
      <c r="E172" s="9" t="s">
        <v>12</v>
      </c>
      <c r="F172" s="12"/>
      <c r="G172" s="13"/>
    </row>
    <row r="173" customFormat="false" ht="15" hidden="false" customHeight="false" outlineLevel="0" collapsed="false">
      <c r="A173" s="4" t="n">
        <v>169</v>
      </c>
      <c r="B173" s="5" t="s">
        <v>394</v>
      </c>
      <c r="C173" s="4" t="s">
        <v>397</v>
      </c>
      <c r="D173" s="6" t="s">
        <v>398</v>
      </c>
      <c r="E173" s="4" t="s">
        <v>12</v>
      </c>
      <c r="F173" s="7"/>
      <c r="G173" s="8"/>
    </row>
    <row r="174" customFormat="false" ht="15" hidden="false" customHeight="false" outlineLevel="0" collapsed="false">
      <c r="A174" s="9" t="n">
        <v>170</v>
      </c>
      <c r="B174" s="10" t="s">
        <v>394</v>
      </c>
      <c r="C174" s="9" t="s">
        <v>399</v>
      </c>
      <c r="D174" s="11" t="s">
        <v>400</v>
      </c>
      <c r="E174" s="9" t="s">
        <v>12</v>
      </c>
      <c r="F174" s="12"/>
      <c r="G174" s="13" t="s">
        <v>401</v>
      </c>
    </row>
    <row r="175" customFormat="false" ht="15" hidden="false" customHeight="false" outlineLevel="0" collapsed="false">
      <c r="A175" s="4" t="n">
        <v>171</v>
      </c>
      <c r="B175" s="5" t="s">
        <v>394</v>
      </c>
      <c r="C175" s="4" t="s">
        <v>402</v>
      </c>
      <c r="D175" s="6" t="s">
        <v>403</v>
      </c>
      <c r="E175" s="4" t="s">
        <v>12</v>
      </c>
      <c r="F175" s="7"/>
      <c r="G175" s="8"/>
    </row>
    <row r="176" customFormat="false" ht="15" hidden="false" customHeight="false" outlineLevel="0" collapsed="false">
      <c r="A176" s="9" t="n">
        <v>172</v>
      </c>
      <c r="B176" s="10" t="s">
        <v>394</v>
      </c>
      <c r="C176" s="9" t="s">
        <v>404</v>
      </c>
      <c r="D176" s="11" t="s">
        <v>405</v>
      </c>
      <c r="E176" s="9" t="s">
        <v>12</v>
      </c>
      <c r="F176" s="12"/>
      <c r="G176" s="13" t="s">
        <v>406</v>
      </c>
    </row>
    <row r="177" customFormat="false" ht="15" hidden="false" customHeight="false" outlineLevel="0" collapsed="false">
      <c r="A177" s="4" t="n">
        <v>173</v>
      </c>
      <c r="B177" s="5" t="s">
        <v>394</v>
      </c>
      <c r="C177" s="4" t="s">
        <v>407</v>
      </c>
      <c r="D177" s="6" t="s">
        <v>408</v>
      </c>
      <c r="E177" s="4" t="s">
        <v>12</v>
      </c>
      <c r="F177" s="7"/>
      <c r="G177" s="8"/>
    </row>
    <row r="178" customFormat="false" ht="15" hidden="false" customHeight="false" outlineLevel="0" collapsed="false">
      <c r="A178" s="9" t="n">
        <v>174</v>
      </c>
      <c r="B178" s="10" t="s">
        <v>394</v>
      </c>
      <c r="C178" s="9" t="s">
        <v>409</v>
      </c>
      <c r="D178" s="11" t="s">
        <v>410</v>
      </c>
      <c r="E178" s="9" t="s">
        <v>12</v>
      </c>
      <c r="F178" s="12"/>
      <c r="G178" s="13" t="s">
        <v>411</v>
      </c>
    </row>
    <row r="179" customFormat="false" ht="15" hidden="false" customHeight="false" outlineLevel="0" collapsed="false">
      <c r="A179" s="4" t="n">
        <v>175</v>
      </c>
      <c r="B179" s="5" t="s">
        <v>394</v>
      </c>
      <c r="C179" s="4" t="s">
        <v>412</v>
      </c>
      <c r="D179" s="6" t="s">
        <v>413</v>
      </c>
      <c r="E179" s="4" t="s">
        <v>12</v>
      </c>
      <c r="F179" s="7"/>
      <c r="G179" s="8"/>
    </row>
    <row r="180" customFormat="false" ht="23.85" hidden="false" customHeight="false" outlineLevel="0" collapsed="false">
      <c r="A180" s="9" t="n">
        <v>176</v>
      </c>
      <c r="B180" s="10" t="s">
        <v>414</v>
      </c>
      <c r="C180" s="9" t="s">
        <v>415</v>
      </c>
      <c r="D180" s="11" t="s">
        <v>416</v>
      </c>
      <c r="E180" s="9" t="s">
        <v>12</v>
      </c>
      <c r="F180" s="12"/>
      <c r="G180" s="13" t="s">
        <v>417</v>
      </c>
    </row>
    <row r="181" customFormat="false" ht="15" hidden="false" customHeight="false" outlineLevel="0" collapsed="false">
      <c r="A181" s="4" t="n">
        <v>177</v>
      </c>
      <c r="B181" s="5" t="s">
        <v>414</v>
      </c>
      <c r="C181" s="4" t="s">
        <v>418</v>
      </c>
      <c r="D181" s="6" t="s">
        <v>419</v>
      </c>
      <c r="E181" s="4" t="s">
        <v>12</v>
      </c>
      <c r="F181" s="7"/>
      <c r="G181" s="8" t="s">
        <v>420</v>
      </c>
    </row>
    <row r="182" customFormat="false" ht="15" hidden="false" customHeight="false" outlineLevel="0" collapsed="false">
      <c r="A182" s="9" t="n">
        <v>178</v>
      </c>
      <c r="B182" s="10" t="s">
        <v>414</v>
      </c>
      <c r="C182" s="9" t="s">
        <v>421</v>
      </c>
      <c r="D182" s="11" t="s">
        <v>422</v>
      </c>
      <c r="E182" s="9" t="s">
        <v>12</v>
      </c>
      <c r="F182" s="12"/>
      <c r="G182" s="13" t="s">
        <v>264</v>
      </c>
    </row>
    <row r="183" customFormat="false" ht="23.85" hidden="false" customHeight="false" outlineLevel="0" collapsed="false">
      <c r="A183" s="4" t="n">
        <v>179</v>
      </c>
      <c r="B183" s="5" t="s">
        <v>414</v>
      </c>
      <c r="C183" s="4" t="s">
        <v>423</v>
      </c>
      <c r="D183" s="6" t="s">
        <v>424</v>
      </c>
      <c r="E183" s="4" t="s">
        <v>425</v>
      </c>
      <c r="F183" s="7"/>
      <c r="G183" s="8" t="s">
        <v>426</v>
      </c>
    </row>
    <row r="184" customFormat="false" ht="15" hidden="false" customHeight="false" outlineLevel="0" collapsed="false">
      <c r="A184" s="9" t="n">
        <v>180</v>
      </c>
      <c r="B184" s="10" t="s">
        <v>414</v>
      </c>
      <c r="C184" s="9" t="s">
        <v>427</v>
      </c>
      <c r="D184" s="11" t="s">
        <v>428</v>
      </c>
      <c r="E184" s="9" t="s">
        <v>12</v>
      </c>
      <c r="F184" s="12"/>
      <c r="G184" s="13" t="s">
        <v>420</v>
      </c>
    </row>
    <row r="185" customFormat="false" ht="15" hidden="false" customHeight="false" outlineLevel="0" collapsed="false">
      <c r="A185" s="4" t="n">
        <v>181</v>
      </c>
      <c r="B185" s="5" t="s">
        <v>429</v>
      </c>
      <c r="C185" s="4" t="s">
        <v>430</v>
      </c>
      <c r="D185" s="6" t="s">
        <v>431</v>
      </c>
      <c r="E185" s="14" t="s">
        <v>56</v>
      </c>
      <c r="F185" s="7"/>
      <c r="G185" s="8" t="s">
        <v>432</v>
      </c>
    </row>
    <row r="186" customFormat="false" ht="23.85" hidden="false" customHeight="false" outlineLevel="0" collapsed="false">
      <c r="A186" s="9" t="n">
        <v>182</v>
      </c>
      <c r="B186" s="10" t="s">
        <v>429</v>
      </c>
      <c r="C186" s="9" t="s">
        <v>433</v>
      </c>
      <c r="D186" s="11" t="s">
        <v>434</v>
      </c>
      <c r="E186" s="15" t="s">
        <v>56</v>
      </c>
      <c r="F186" s="12"/>
      <c r="G186" s="13" t="s">
        <v>435</v>
      </c>
    </row>
    <row r="187" customFormat="false" ht="15" hidden="false" customHeight="false" outlineLevel="0" collapsed="false">
      <c r="A187" s="4" t="n">
        <v>183</v>
      </c>
      <c r="B187" s="5" t="s">
        <v>429</v>
      </c>
      <c r="C187" s="4" t="s">
        <v>436</v>
      </c>
      <c r="D187" s="6" t="s">
        <v>437</v>
      </c>
      <c r="E187" s="14" t="s">
        <v>56</v>
      </c>
      <c r="F187" s="7"/>
      <c r="G187" s="8" t="s">
        <v>438</v>
      </c>
    </row>
    <row r="188" customFormat="false" ht="15" hidden="false" customHeight="false" outlineLevel="0" collapsed="false">
      <c r="A188" s="9" t="n">
        <v>184</v>
      </c>
      <c r="B188" s="10" t="s">
        <v>429</v>
      </c>
      <c r="C188" s="9" t="s">
        <v>439</v>
      </c>
      <c r="D188" s="11" t="s">
        <v>440</v>
      </c>
      <c r="E188" s="15" t="s">
        <v>56</v>
      </c>
      <c r="F188" s="12"/>
      <c r="G188" s="13" t="s">
        <v>441</v>
      </c>
    </row>
    <row r="189" customFormat="false" ht="23.85" hidden="false" customHeight="false" outlineLevel="0" collapsed="false">
      <c r="A189" s="4" t="n">
        <v>185</v>
      </c>
      <c r="B189" s="5" t="s">
        <v>429</v>
      </c>
      <c r="C189" s="4" t="s">
        <v>442</v>
      </c>
      <c r="D189" s="6" t="s">
        <v>443</v>
      </c>
      <c r="E189" s="14" t="s">
        <v>444</v>
      </c>
      <c r="F189" s="7"/>
      <c r="G189" s="8" t="s">
        <v>445</v>
      </c>
    </row>
  </sheetData>
  <autoFilter ref="A4:G189"/>
  <mergeCells count="2">
    <mergeCell ref="A1:G1"/>
    <mergeCell ref="A2:G2"/>
  </mergeCells>
  <dataValidations count="1">
    <dataValidation allowBlank="true" error="Pick one of: MUST HAVE, SHOULD HAVE, COULD HAVE, WON'T HAVE (this round), NEEDS DISCUSSION" errorStyle="stop" errorTitle="Invalid entry" operator="between" showDropDown="false" showErrorMessage="false" showInputMessage="false" sqref="F5:F189" type="list">
      <formula1>"MUST HAVE,SHOULD HAVE,COULD HAVE,WON'T HAVE (this round),NEEDS DISCUSSION"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6" t="s">
        <v>446</v>
      </c>
    </row>
    <row r="2" customFormat="false" ht="15" hidden="false" customHeight="false" outlineLevel="0" collapsed="false">
      <c r="A2" s="17"/>
    </row>
    <row r="3" customFormat="false" ht="23.85" hidden="false" customHeight="false" outlineLevel="0" collapsed="false">
      <c r="A3" s="17" t="s">
        <v>447</v>
      </c>
    </row>
    <row r="4" customFormat="false" ht="15" hidden="false" customHeight="false" outlineLevel="0" collapsed="false">
      <c r="A4" s="17"/>
    </row>
    <row r="5" customFormat="false" ht="15" hidden="false" customHeight="false" outlineLevel="0" collapsed="false">
      <c r="A5" s="18" t="s">
        <v>448</v>
      </c>
    </row>
    <row r="6" customFormat="false" ht="15" hidden="false" customHeight="false" outlineLevel="0" collapsed="false">
      <c r="A6" s="17" t="s">
        <v>449</v>
      </c>
    </row>
    <row r="7" customFormat="false" ht="15" hidden="false" customHeight="false" outlineLevel="0" collapsed="false">
      <c r="A7" s="17" t="s">
        <v>450</v>
      </c>
    </row>
    <row r="8" customFormat="false" ht="15" hidden="false" customHeight="false" outlineLevel="0" collapsed="false">
      <c r="A8" s="17" t="s">
        <v>451</v>
      </c>
    </row>
    <row r="9" customFormat="false" ht="23.85" hidden="false" customHeight="false" outlineLevel="0" collapsed="false">
      <c r="A9" s="17" t="s">
        <v>452</v>
      </c>
    </row>
    <row r="10" customFormat="false" ht="15" hidden="false" customHeight="false" outlineLevel="0" collapsed="false">
      <c r="A10" s="17" t="s">
        <v>453</v>
      </c>
    </row>
    <row r="11" customFormat="false" ht="15" hidden="false" customHeight="false" outlineLevel="0" collapsed="false">
      <c r="A11" s="17"/>
    </row>
    <row r="12" customFormat="false" ht="15" hidden="false" customHeight="false" outlineLevel="0" collapsed="false">
      <c r="A12" s="18" t="s">
        <v>454</v>
      </c>
    </row>
    <row r="13" customFormat="false" ht="15" hidden="false" customHeight="false" outlineLevel="0" collapsed="false">
      <c r="A13" s="17" t="s">
        <v>455</v>
      </c>
    </row>
    <row r="14" customFormat="false" ht="15" hidden="false" customHeight="false" outlineLevel="0" collapsed="false">
      <c r="A14" s="17" t="s">
        <v>456</v>
      </c>
    </row>
    <row r="15" customFormat="false" ht="23.85" hidden="false" customHeight="false" outlineLevel="0" collapsed="false">
      <c r="A15" s="17" t="s">
        <v>457</v>
      </c>
    </row>
    <row r="16" customFormat="false" ht="35.05" hidden="false" customHeight="false" outlineLevel="0" collapsed="false">
      <c r="A16" s="17" t="s">
        <v>458</v>
      </c>
    </row>
    <row r="17" customFormat="false" ht="15" hidden="false" customHeight="false" outlineLevel="0" collapsed="false">
      <c r="A17" s="17" t="s">
        <v>459</v>
      </c>
    </row>
    <row r="18" customFormat="false" ht="15" hidden="false" customHeight="false" outlineLevel="0" collapsed="false">
      <c r="A18" s="17"/>
    </row>
    <row r="19" customFormat="false" ht="23.85" hidden="false" customHeight="false" outlineLevel="0" collapsed="false">
      <c r="A19" s="17" t="s">
        <v>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6"/>
  </cols>
  <sheetData>
    <row r="1" customFormat="false" ht="19.7" hidden="false" customHeight="false" outlineLevel="0" collapsed="false">
      <c r="A1" s="1" t="s">
        <v>461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19" t="s">
        <v>3</v>
      </c>
      <c r="B3" s="20" t="s">
        <v>462</v>
      </c>
      <c r="C3" s="20" t="s">
        <v>463</v>
      </c>
      <c r="D3" s="20" t="s">
        <v>464</v>
      </c>
      <c r="E3" s="20" t="s">
        <v>465</v>
      </c>
      <c r="F3" s="20" t="s">
        <v>466</v>
      </c>
      <c r="G3" s="19" t="s">
        <v>467</v>
      </c>
    </row>
    <row r="4" customFormat="false" ht="15" hidden="false" customHeight="false" outlineLevel="0" collapsed="false">
      <c r="A4" s="4" t="s">
        <v>9</v>
      </c>
      <c r="B4" s="21" t="n">
        <f aca="false">COUNTIFS('YouTube Feature List'!$B5:$B189,$A4,'YouTube Feature List'!$F5:$F189,B$3)</f>
        <v>0</v>
      </c>
      <c r="C4" s="21" t="n">
        <f aca="false">COUNTIFS('YouTube Feature List'!$B5:$B189,$A4,'YouTube Feature List'!$F5:$F189,C$3)</f>
        <v>0</v>
      </c>
      <c r="D4" s="21" t="n">
        <f aca="false">COUNTIFS('YouTube Feature List'!$B5:$B189,$A4,'YouTube Feature List'!$F5:$F189,D$3)</f>
        <v>0</v>
      </c>
      <c r="E4" s="21" t="n">
        <f aca="false">COUNTIFS('YouTube Feature List'!$B5:$B189,$A4,'YouTube Feature List'!$F5:$F189,E$3)</f>
        <v>0</v>
      </c>
      <c r="F4" s="21" t="n">
        <f aca="false">COUNTIFS('YouTube Feature List'!$B5:$B189,$A4,'YouTube Feature List'!$F5:$F189,F$3)</f>
        <v>0</v>
      </c>
      <c r="G4" s="21" t="n">
        <f aca="false">COUNTIF('YouTube Feature List'!$B5:$B189,$A4)</f>
        <v>10</v>
      </c>
    </row>
    <row r="5" customFormat="false" ht="15" hidden="false" customHeight="false" outlineLevel="0" collapsed="false">
      <c r="A5" s="4" t="s">
        <v>32</v>
      </c>
      <c r="B5" s="21" t="n">
        <f aca="false">COUNTIFS('YouTube Feature List'!$B5:$B189,$A5,'YouTube Feature List'!$F5:$F189,B$3)</f>
        <v>0</v>
      </c>
      <c r="C5" s="21" t="n">
        <f aca="false">COUNTIFS('YouTube Feature List'!$B5:$B189,$A5,'YouTube Feature List'!$F5:$F189,C$3)</f>
        <v>0</v>
      </c>
      <c r="D5" s="21" t="n">
        <f aca="false">COUNTIFS('YouTube Feature List'!$B5:$B189,$A5,'YouTube Feature List'!$F5:$F189,D$3)</f>
        <v>0</v>
      </c>
      <c r="E5" s="21" t="n">
        <f aca="false">COUNTIFS('YouTube Feature List'!$B5:$B189,$A5,'YouTube Feature List'!$F5:$F189,E$3)</f>
        <v>0</v>
      </c>
      <c r="F5" s="21" t="n">
        <f aca="false">COUNTIFS('YouTube Feature List'!$B5:$B189,$A5,'YouTube Feature List'!$F5:$F189,F$3)</f>
        <v>0</v>
      </c>
      <c r="G5" s="21" t="n">
        <f aca="false">COUNTIF('YouTube Feature List'!$B5:$B189,$A5)</f>
        <v>21</v>
      </c>
    </row>
    <row r="6" customFormat="false" ht="15" hidden="false" customHeight="false" outlineLevel="0" collapsed="false">
      <c r="A6" s="4" t="s">
        <v>79</v>
      </c>
      <c r="B6" s="21" t="n">
        <f aca="false">COUNTIFS('YouTube Feature List'!$B5:$B189,$A6,'YouTube Feature List'!$F5:$F189,B$3)</f>
        <v>0</v>
      </c>
      <c r="C6" s="21" t="n">
        <f aca="false">COUNTIFS('YouTube Feature List'!$B5:$B189,$A6,'YouTube Feature List'!$F5:$F189,C$3)</f>
        <v>0</v>
      </c>
      <c r="D6" s="21" t="n">
        <f aca="false">COUNTIFS('YouTube Feature List'!$B5:$B189,$A6,'YouTube Feature List'!$F5:$F189,D$3)</f>
        <v>0</v>
      </c>
      <c r="E6" s="21" t="n">
        <f aca="false">COUNTIFS('YouTube Feature List'!$B5:$B189,$A6,'YouTube Feature List'!$F5:$F189,E$3)</f>
        <v>0</v>
      </c>
      <c r="F6" s="21" t="n">
        <f aca="false">COUNTIFS('YouTube Feature List'!$B5:$B189,$A6,'YouTube Feature List'!$F5:$F189,F$3)</f>
        <v>0</v>
      </c>
      <c r="G6" s="21" t="n">
        <f aca="false">COUNTIF('YouTube Feature List'!$B5:$B189,$A6)</f>
        <v>20</v>
      </c>
    </row>
    <row r="7" customFormat="false" ht="15" hidden="false" customHeight="false" outlineLevel="0" collapsed="false">
      <c r="A7" s="4" t="s">
        <v>124</v>
      </c>
      <c r="B7" s="21" t="n">
        <f aca="false">COUNTIFS('YouTube Feature List'!$B5:$B189,$A7,'YouTube Feature List'!$F5:$F189,B$3)</f>
        <v>0</v>
      </c>
      <c r="C7" s="21" t="n">
        <f aca="false">COUNTIFS('YouTube Feature List'!$B5:$B189,$A7,'YouTube Feature List'!$F5:$F189,C$3)</f>
        <v>0</v>
      </c>
      <c r="D7" s="21" t="n">
        <f aca="false">COUNTIFS('YouTube Feature List'!$B5:$B189,$A7,'YouTube Feature List'!$F5:$F189,D$3)</f>
        <v>0</v>
      </c>
      <c r="E7" s="21" t="n">
        <f aca="false">COUNTIFS('YouTube Feature List'!$B5:$B189,$A7,'YouTube Feature List'!$F5:$F189,E$3)</f>
        <v>0</v>
      </c>
      <c r="F7" s="21" t="n">
        <f aca="false">COUNTIFS('YouTube Feature List'!$B5:$B189,$A7,'YouTube Feature List'!$F5:$F189,F$3)</f>
        <v>0</v>
      </c>
      <c r="G7" s="21" t="n">
        <f aca="false">COUNTIF('YouTube Feature List'!$B5:$B189,$A7)</f>
        <v>14</v>
      </c>
    </row>
    <row r="8" customFormat="false" ht="15" hidden="false" customHeight="false" outlineLevel="0" collapsed="false">
      <c r="A8" s="4" t="s">
        <v>157</v>
      </c>
      <c r="B8" s="21" t="n">
        <f aca="false">COUNTIFS('YouTube Feature List'!$B5:$B189,$A8,'YouTube Feature List'!$F5:$F189,B$3)</f>
        <v>0</v>
      </c>
      <c r="C8" s="21" t="n">
        <f aca="false">COUNTIFS('YouTube Feature List'!$B5:$B189,$A8,'YouTube Feature List'!$F5:$F189,C$3)</f>
        <v>0</v>
      </c>
      <c r="D8" s="21" t="n">
        <f aca="false">COUNTIFS('YouTube Feature List'!$B5:$B189,$A8,'YouTube Feature List'!$F5:$F189,D$3)</f>
        <v>0</v>
      </c>
      <c r="E8" s="21" t="n">
        <f aca="false">COUNTIFS('YouTube Feature List'!$B5:$B189,$A8,'YouTube Feature List'!$F5:$F189,E$3)</f>
        <v>0</v>
      </c>
      <c r="F8" s="21" t="n">
        <f aca="false">COUNTIFS('YouTube Feature List'!$B5:$B189,$A8,'YouTube Feature List'!$F5:$F189,F$3)</f>
        <v>0</v>
      </c>
      <c r="G8" s="21" t="n">
        <f aca="false">COUNTIF('YouTube Feature List'!$B5:$B189,$A8)</f>
        <v>9</v>
      </c>
    </row>
    <row r="9" customFormat="false" ht="15" hidden="false" customHeight="false" outlineLevel="0" collapsed="false">
      <c r="A9" s="4" t="s">
        <v>177</v>
      </c>
      <c r="B9" s="21" t="n">
        <f aca="false">COUNTIFS('YouTube Feature List'!$B5:$B189,$A9,'YouTube Feature List'!$F5:$F189,B$3)</f>
        <v>0</v>
      </c>
      <c r="C9" s="21" t="n">
        <f aca="false">COUNTIFS('YouTube Feature List'!$B5:$B189,$A9,'YouTube Feature List'!$F5:$F189,C$3)</f>
        <v>0</v>
      </c>
      <c r="D9" s="21" t="n">
        <f aca="false">COUNTIFS('YouTube Feature List'!$B5:$B189,$A9,'YouTube Feature List'!$F5:$F189,D$3)</f>
        <v>0</v>
      </c>
      <c r="E9" s="21" t="n">
        <f aca="false">COUNTIFS('YouTube Feature List'!$B5:$B189,$A9,'YouTube Feature List'!$F5:$F189,E$3)</f>
        <v>0</v>
      </c>
      <c r="F9" s="21" t="n">
        <f aca="false">COUNTIFS('YouTube Feature List'!$B5:$B189,$A9,'YouTube Feature List'!$F5:$F189,F$3)</f>
        <v>0</v>
      </c>
      <c r="G9" s="21" t="n">
        <f aca="false">COUNTIF('YouTube Feature List'!$B5:$B189,$A9)</f>
        <v>11</v>
      </c>
    </row>
    <row r="10" customFormat="false" ht="15" hidden="false" customHeight="false" outlineLevel="0" collapsed="false">
      <c r="A10" s="4" t="s">
        <v>203</v>
      </c>
      <c r="B10" s="21" t="n">
        <f aca="false">COUNTIFS('YouTube Feature List'!$B5:$B189,$A10,'YouTube Feature List'!$F5:$F189,B$3)</f>
        <v>0</v>
      </c>
      <c r="C10" s="21" t="n">
        <f aca="false">COUNTIFS('YouTube Feature List'!$B5:$B189,$A10,'YouTube Feature List'!$F5:$F189,C$3)</f>
        <v>0</v>
      </c>
      <c r="D10" s="21" t="n">
        <f aca="false">COUNTIFS('YouTube Feature List'!$B5:$B189,$A10,'YouTube Feature List'!$F5:$F189,D$3)</f>
        <v>0</v>
      </c>
      <c r="E10" s="21" t="n">
        <f aca="false">COUNTIFS('YouTube Feature List'!$B5:$B189,$A10,'YouTube Feature List'!$F5:$F189,E$3)</f>
        <v>0</v>
      </c>
      <c r="F10" s="21" t="n">
        <f aca="false">COUNTIFS('YouTube Feature List'!$B5:$B189,$A10,'YouTube Feature List'!$F5:$F189,F$3)</f>
        <v>0</v>
      </c>
      <c r="G10" s="21" t="n">
        <f aca="false">COUNTIF('YouTube Feature List'!$B5:$B189,$A10)</f>
        <v>7</v>
      </c>
    </row>
    <row r="11" customFormat="false" ht="15" hidden="false" customHeight="false" outlineLevel="0" collapsed="false">
      <c r="A11" s="4" t="s">
        <v>219</v>
      </c>
      <c r="B11" s="21" t="n">
        <f aca="false">COUNTIFS('YouTube Feature List'!$B5:$B189,$A11,'YouTube Feature List'!$F5:$F189,B$3)</f>
        <v>0</v>
      </c>
      <c r="C11" s="21" t="n">
        <f aca="false">COUNTIFS('YouTube Feature List'!$B5:$B189,$A11,'YouTube Feature List'!$F5:$F189,C$3)</f>
        <v>0</v>
      </c>
      <c r="D11" s="21" t="n">
        <f aca="false">COUNTIFS('YouTube Feature List'!$B5:$B189,$A11,'YouTube Feature List'!$F5:$F189,D$3)</f>
        <v>0</v>
      </c>
      <c r="E11" s="21" t="n">
        <f aca="false">COUNTIFS('YouTube Feature List'!$B5:$B189,$A11,'YouTube Feature List'!$F5:$F189,E$3)</f>
        <v>0</v>
      </c>
      <c r="F11" s="21" t="n">
        <f aca="false">COUNTIFS('YouTube Feature List'!$B5:$B189,$A11,'YouTube Feature List'!$F5:$F189,F$3)</f>
        <v>0</v>
      </c>
      <c r="G11" s="21" t="n">
        <f aca="false">COUNTIF('YouTube Feature List'!$B5:$B189,$A11)</f>
        <v>11</v>
      </c>
    </row>
    <row r="12" customFormat="false" ht="15" hidden="false" customHeight="false" outlineLevel="0" collapsed="false">
      <c r="A12" s="4" t="s">
        <v>243</v>
      </c>
      <c r="B12" s="21" t="n">
        <f aca="false">COUNTIFS('YouTube Feature List'!$B5:$B189,$A12,'YouTube Feature List'!$F5:$F189,B$3)</f>
        <v>0</v>
      </c>
      <c r="C12" s="21" t="n">
        <f aca="false">COUNTIFS('YouTube Feature List'!$B5:$B189,$A12,'YouTube Feature List'!$F5:$F189,C$3)</f>
        <v>0</v>
      </c>
      <c r="D12" s="21" t="n">
        <f aca="false">COUNTIFS('YouTube Feature List'!$B5:$B189,$A12,'YouTube Feature List'!$F5:$F189,D$3)</f>
        <v>0</v>
      </c>
      <c r="E12" s="21" t="n">
        <f aca="false">COUNTIFS('YouTube Feature List'!$B5:$B189,$A12,'YouTube Feature List'!$F5:$F189,E$3)</f>
        <v>0</v>
      </c>
      <c r="F12" s="21" t="n">
        <f aca="false">COUNTIFS('YouTube Feature List'!$B5:$B189,$A12,'YouTube Feature List'!$F5:$F189,F$3)</f>
        <v>0</v>
      </c>
      <c r="G12" s="21" t="n">
        <f aca="false">COUNTIF('YouTube Feature List'!$B5:$B189,$A12)</f>
        <v>11</v>
      </c>
    </row>
    <row r="13" customFormat="false" ht="15" hidden="false" customHeight="false" outlineLevel="0" collapsed="false">
      <c r="A13" s="4" t="s">
        <v>271</v>
      </c>
      <c r="B13" s="21" t="n">
        <f aca="false">COUNTIFS('YouTube Feature List'!$B5:$B189,$A13,'YouTube Feature List'!$F5:$F189,B$3)</f>
        <v>0</v>
      </c>
      <c r="C13" s="21" t="n">
        <f aca="false">COUNTIFS('YouTube Feature List'!$B5:$B189,$A13,'YouTube Feature List'!$F5:$F189,C$3)</f>
        <v>0</v>
      </c>
      <c r="D13" s="21" t="n">
        <f aca="false">COUNTIFS('YouTube Feature List'!$B5:$B189,$A13,'YouTube Feature List'!$F5:$F189,D$3)</f>
        <v>0</v>
      </c>
      <c r="E13" s="21" t="n">
        <f aca="false">COUNTIFS('YouTube Feature List'!$B5:$B189,$A13,'YouTube Feature List'!$F5:$F189,E$3)</f>
        <v>0</v>
      </c>
      <c r="F13" s="21" t="n">
        <f aca="false">COUNTIFS('YouTube Feature List'!$B5:$B189,$A13,'YouTube Feature List'!$F5:$F189,F$3)</f>
        <v>0</v>
      </c>
      <c r="G13" s="21" t="n">
        <f aca="false">COUNTIF('YouTube Feature List'!$B5:$B189,$A13)</f>
        <v>6</v>
      </c>
    </row>
    <row r="14" customFormat="false" ht="15" hidden="false" customHeight="false" outlineLevel="0" collapsed="false">
      <c r="A14" s="4" t="s">
        <v>284</v>
      </c>
      <c r="B14" s="21" t="n">
        <f aca="false">COUNTIFS('YouTube Feature List'!$B5:$B189,$A14,'YouTube Feature List'!$F5:$F189,B$3)</f>
        <v>0</v>
      </c>
      <c r="C14" s="21" t="n">
        <f aca="false">COUNTIFS('YouTube Feature List'!$B5:$B189,$A14,'YouTube Feature List'!$F5:$F189,C$3)</f>
        <v>0</v>
      </c>
      <c r="D14" s="21" t="n">
        <f aca="false">COUNTIFS('YouTube Feature List'!$B5:$B189,$A14,'YouTube Feature List'!$F5:$F189,D$3)</f>
        <v>0</v>
      </c>
      <c r="E14" s="21" t="n">
        <f aca="false">COUNTIFS('YouTube Feature List'!$B5:$B189,$A14,'YouTube Feature List'!$F5:$F189,E$3)</f>
        <v>0</v>
      </c>
      <c r="F14" s="21" t="n">
        <f aca="false">COUNTIFS('YouTube Feature List'!$B5:$B189,$A14,'YouTube Feature List'!$F5:$F189,F$3)</f>
        <v>0</v>
      </c>
      <c r="G14" s="21" t="n">
        <f aca="false">COUNTIF('YouTube Feature List'!$B5:$B189,$A14)</f>
        <v>14</v>
      </c>
    </row>
    <row r="15" customFormat="false" ht="15" hidden="false" customHeight="false" outlineLevel="0" collapsed="false">
      <c r="A15" s="4" t="s">
        <v>317</v>
      </c>
      <c r="B15" s="21" t="n">
        <f aca="false">COUNTIFS('YouTube Feature List'!$B5:$B189,$A15,'YouTube Feature List'!$F5:$F189,B$3)</f>
        <v>0</v>
      </c>
      <c r="C15" s="21" t="n">
        <f aca="false">COUNTIFS('YouTube Feature List'!$B5:$B189,$A15,'YouTube Feature List'!$F5:$F189,C$3)</f>
        <v>0</v>
      </c>
      <c r="D15" s="21" t="n">
        <f aca="false">COUNTIFS('YouTube Feature List'!$B5:$B189,$A15,'YouTube Feature List'!$F5:$F189,D$3)</f>
        <v>0</v>
      </c>
      <c r="E15" s="21" t="n">
        <f aca="false">COUNTIFS('YouTube Feature List'!$B5:$B189,$A15,'YouTube Feature List'!$F5:$F189,E$3)</f>
        <v>0</v>
      </c>
      <c r="F15" s="21" t="n">
        <f aca="false">COUNTIFS('YouTube Feature List'!$B5:$B189,$A15,'YouTube Feature List'!$F5:$F189,F$3)</f>
        <v>0</v>
      </c>
      <c r="G15" s="21" t="n">
        <f aca="false">COUNTIF('YouTube Feature List'!$B5:$B189,$A15)</f>
        <v>12</v>
      </c>
    </row>
    <row r="16" customFormat="false" ht="15" hidden="false" customHeight="false" outlineLevel="0" collapsed="false">
      <c r="A16" s="4" t="s">
        <v>345</v>
      </c>
      <c r="B16" s="21" t="n">
        <f aca="false">COUNTIFS('YouTube Feature List'!$B5:$B189,$A16,'YouTube Feature List'!$F5:$F189,B$3)</f>
        <v>0</v>
      </c>
      <c r="C16" s="21" t="n">
        <f aca="false">COUNTIFS('YouTube Feature List'!$B5:$B189,$A16,'YouTube Feature List'!$F5:$F189,C$3)</f>
        <v>0</v>
      </c>
      <c r="D16" s="21" t="n">
        <f aca="false">COUNTIFS('YouTube Feature List'!$B5:$B189,$A16,'YouTube Feature List'!$F5:$F189,D$3)</f>
        <v>0</v>
      </c>
      <c r="E16" s="21" t="n">
        <f aca="false">COUNTIFS('YouTube Feature List'!$B5:$B189,$A16,'YouTube Feature List'!$F5:$F189,E$3)</f>
        <v>0</v>
      </c>
      <c r="F16" s="21" t="n">
        <f aca="false">COUNTIFS('YouTube Feature List'!$B5:$B189,$A16,'YouTube Feature List'!$F5:$F189,F$3)</f>
        <v>0</v>
      </c>
      <c r="G16" s="21" t="n">
        <f aca="false">COUNTIF('YouTube Feature List'!$B5:$B189,$A16)</f>
        <v>11</v>
      </c>
    </row>
    <row r="17" customFormat="false" ht="15" hidden="false" customHeight="false" outlineLevel="0" collapsed="false">
      <c r="A17" s="4" t="s">
        <v>370</v>
      </c>
      <c r="B17" s="21" t="n">
        <f aca="false">COUNTIFS('YouTube Feature List'!$B5:$B189,$A17,'YouTube Feature List'!$F5:$F189,B$3)</f>
        <v>0</v>
      </c>
      <c r="C17" s="21" t="n">
        <f aca="false">COUNTIFS('YouTube Feature List'!$B5:$B189,$A17,'YouTube Feature List'!$F5:$F189,C$3)</f>
        <v>0</v>
      </c>
      <c r="D17" s="21" t="n">
        <f aca="false">COUNTIFS('YouTube Feature List'!$B5:$B189,$A17,'YouTube Feature List'!$F5:$F189,D$3)</f>
        <v>0</v>
      </c>
      <c r="E17" s="21" t="n">
        <f aca="false">COUNTIFS('YouTube Feature List'!$B5:$B189,$A17,'YouTube Feature List'!$F5:$F189,E$3)</f>
        <v>0</v>
      </c>
      <c r="F17" s="21" t="n">
        <f aca="false">COUNTIFS('YouTube Feature List'!$B5:$B189,$A17,'YouTube Feature List'!$F5:$F189,F$3)</f>
        <v>0</v>
      </c>
      <c r="G17" s="21" t="n">
        <f aca="false">COUNTIF('YouTube Feature List'!$B5:$B189,$A17)</f>
        <v>6</v>
      </c>
    </row>
    <row r="18" customFormat="false" ht="15" hidden="false" customHeight="false" outlineLevel="0" collapsed="false">
      <c r="A18" s="4" t="s">
        <v>384</v>
      </c>
      <c r="B18" s="21" t="n">
        <f aca="false">COUNTIFS('YouTube Feature List'!$B5:$B189,$A18,'YouTube Feature List'!$F5:$F189,B$3)</f>
        <v>0</v>
      </c>
      <c r="C18" s="21" t="n">
        <f aca="false">COUNTIFS('YouTube Feature List'!$B5:$B189,$A18,'YouTube Feature List'!$F5:$F189,C$3)</f>
        <v>0</v>
      </c>
      <c r="D18" s="21" t="n">
        <f aca="false">COUNTIFS('YouTube Feature List'!$B5:$B189,$A18,'YouTube Feature List'!$F5:$F189,D$3)</f>
        <v>0</v>
      </c>
      <c r="E18" s="21" t="n">
        <f aca="false">COUNTIFS('YouTube Feature List'!$B5:$B189,$A18,'YouTube Feature List'!$F5:$F189,E$3)</f>
        <v>0</v>
      </c>
      <c r="F18" s="21" t="n">
        <f aca="false">COUNTIFS('YouTube Feature List'!$B5:$B189,$A18,'YouTube Feature List'!$F5:$F189,F$3)</f>
        <v>0</v>
      </c>
      <c r="G18" s="21" t="n">
        <f aca="false">COUNTIF('YouTube Feature List'!$B5:$B189,$A18)</f>
        <v>4</v>
      </c>
    </row>
    <row r="19" customFormat="false" ht="15" hidden="false" customHeight="false" outlineLevel="0" collapsed="false">
      <c r="A19" s="4" t="s">
        <v>394</v>
      </c>
      <c r="B19" s="21" t="n">
        <f aca="false">COUNTIFS('YouTube Feature List'!$B5:$B189,$A19,'YouTube Feature List'!$F5:$F189,B$3)</f>
        <v>0</v>
      </c>
      <c r="C19" s="21" t="n">
        <f aca="false">COUNTIFS('YouTube Feature List'!$B5:$B189,$A19,'YouTube Feature List'!$F5:$F189,C$3)</f>
        <v>0</v>
      </c>
      <c r="D19" s="21" t="n">
        <f aca="false">COUNTIFS('YouTube Feature List'!$B5:$B189,$A19,'YouTube Feature List'!$F5:$F189,D$3)</f>
        <v>0</v>
      </c>
      <c r="E19" s="21" t="n">
        <f aca="false">COUNTIFS('YouTube Feature List'!$B5:$B189,$A19,'YouTube Feature List'!$F5:$F189,E$3)</f>
        <v>0</v>
      </c>
      <c r="F19" s="21" t="n">
        <f aca="false">COUNTIFS('YouTube Feature List'!$B5:$B189,$A19,'YouTube Feature List'!$F5:$F189,F$3)</f>
        <v>0</v>
      </c>
      <c r="G19" s="21" t="n">
        <f aca="false">COUNTIF('YouTube Feature List'!$B5:$B189,$A19)</f>
        <v>8</v>
      </c>
    </row>
    <row r="20" customFormat="false" ht="15" hidden="false" customHeight="false" outlineLevel="0" collapsed="false">
      <c r="A20" s="4" t="s">
        <v>414</v>
      </c>
      <c r="B20" s="21" t="n">
        <f aca="false">COUNTIFS('YouTube Feature List'!$B5:$B189,$A20,'YouTube Feature List'!$F5:$F189,B$3)</f>
        <v>0</v>
      </c>
      <c r="C20" s="21" t="n">
        <f aca="false">COUNTIFS('YouTube Feature List'!$B5:$B189,$A20,'YouTube Feature List'!$F5:$F189,C$3)</f>
        <v>0</v>
      </c>
      <c r="D20" s="21" t="n">
        <f aca="false">COUNTIFS('YouTube Feature List'!$B5:$B189,$A20,'YouTube Feature List'!$F5:$F189,D$3)</f>
        <v>0</v>
      </c>
      <c r="E20" s="21" t="n">
        <f aca="false">COUNTIFS('YouTube Feature List'!$B5:$B189,$A20,'YouTube Feature List'!$F5:$F189,E$3)</f>
        <v>0</v>
      </c>
      <c r="F20" s="21" t="n">
        <f aca="false">COUNTIFS('YouTube Feature List'!$B5:$B189,$A20,'YouTube Feature List'!$F5:$F189,F$3)</f>
        <v>0</v>
      </c>
      <c r="G20" s="21" t="n">
        <f aca="false">COUNTIF('YouTube Feature List'!$B5:$B189,$A20)</f>
        <v>5</v>
      </c>
    </row>
    <row r="21" customFormat="false" ht="15" hidden="false" customHeight="false" outlineLevel="0" collapsed="false">
      <c r="A21" s="4" t="s">
        <v>429</v>
      </c>
      <c r="B21" s="21" t="n">
        <f aca="false">COUNTIFS('YouTube Feature List'!$B5:$B189,$A21,'YouTube Feature List'!$F5:$F189,B$3)</f>
        <v>0</v>
      </c>
      <c r="C21" s="21" t="n">
        <f aca="false">COUNTIFS('YouTube Feature List'!$B5:$B189,$A21,'YouTube Feature List'!$F5:$F189,C$3)</f>
        <v>0</v>
      </c>
      <c r="D21" s="21" t="n">
        <f aca="false">COUNTIFS('YouTube Feature List'!$B5:$B189,$A21,'YouTube Feature List'!$F5:$F189,D$3)</f>
        <v>0</v>
      </c>
      <c r="E21" s="21" t="n">
        <f aca="false">COUNTIFS('YouTube Feature List'!$B5:$B189,$A21,'YouTube Feature List'!$F5:$F189,E$3)</f>
        <v>0</v>
      </c>
      <c r="F21" s="21" t="n">
        <f aca="false">COUNTIFS('YouTube Feature List'!$B5:$B189,$A21,'YouTube Feature List'!$F5:$F189,F$3)</f>
        <v>0</v>
      </c>
      <c r="G21" s="21" t="n">
        <f aca="false">COUNTIF('YouTube Feature List'!$B5:$B189,$A21)</f>
        <v>5</v>
      </c>
    </row>
    <row r="22" customFormat="false" ht="15" hidden="false" customHeight="false" outlineLevel="0" collapsed="false">
      <c r="A22" s="5" t="s">
        <v>468</v>
      </c>
      <c r="B22" s="22" t="n">
        <f aca="false">SUM(B4:B21)</f>
        <v>0</v>
      </c>
      <c r="C22" s="22" t="n">
        <f aca="false">SUM(C4:C21)</f>
        <v>0</v>
      </c>
      <c r="D22" s="22" t="n">
        <f aca="false">SUM(D4:D21)</f>
        <v>0</v>
      </c>
      <c r="E22" s="22" t="n">
        <f aca="false">SUM(E4:E21)</f>
        <v>0</v>
      </c>
      <c r="F22" s="22" t="n">
        <f aca="false">SUM(F4:F21)</f>
        <v>0</v>
      </c>
      <c r="G22" s="22" t="n">
        <f aca="false">SUM(G4:G21)</f>
        <v>185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2026-09-05T08:20:39Z</dcterms:created>
  <dc:creator>openpyxl</dc:creator>
  <dc:description/>
  <dc:language>en-US</dc:language>
  <cp:lastModifiedBy/>
  <dcterms:modified xsi:type="dcterms:W3CDTF">2026-09-05T08:20:39Z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